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375BE93-6209-404F-A10D-5A312177B5DC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Hoja1" sheetId="1" r:id="rId1"/>
    <sheet name="Sheet1" sheetId="2" r:id="rId2"/>
    <sheet name="Hoja2" sheetId="3" r:id="rId3"/>
    <sheet name="Hoja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6" i="1"/>
  <c r="C14" i="1"/>
  <c r="C15" i="1"/>
  <c r="C16" i="1"/>
  <c r="C17" i="1"/>
  <c r="C18" i="1"/>
  <c r="C12" i="1"/>
  <c r="C13" i="1"/>
  <c r="C11" i="1"/>
  <c r="C10" i="1"/>
  <c r="C8" i="1"/>
  <c r="C23" i="1"/>
  <c r="C21" i="1"/>
  <c r="C20" i="1"/>
  <c r="C19" i="1"/>
  <c r="C9" i="1"/>
  <c r="C24" i="1"/>
  <c r="C25" i="1"/>
  <c r="C28" i="1"/>
  <c r="C29" i="1"/>
  <c r="C30" i="1"/>
  <c r="C55" i="1"/>
  <c r="C56" i="1"/>
  <c r="C54" i="1"/>
  <c r="C49" i="1"/>
  <c r="C50" i="1"/>
  <c r="C51" i="1"/>
  <c r="C52" i="1"/>
  <c r="C48" i="1"/>
  <c r="C5" i="1"/>
  <c r="C4" i="1"/>
  <c r="C59" i="1"/>
  <c r="C60" i="1"/>
  <c r="C61" i="1"/>
  <c r="C62" i="1"/>
  <c r="C63" i="1"/>
  <c r="C58" i="1"/>
  <c r="C38" i="1"/>
  <c r="C39" i="1"/>
  <c r="C40" i="1"/>
  <c r="C41" i="1"/>
  <c r="C42" i="1"/>
  <c r="C43" i="1"/>
  <c r="C44" i="1"/>
  <c r="C45" i="1"/>
  <c r="C37" i="1"/>
  <c r="C33" i="1"/>
  <c r="C34" i="1"/>
  <c r="C35" i="1"/>
  <c r="C32" i="1"/>
  <c r="C6" i="1"/>
  <c r="D8" i="1"/>
  <c r="D6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3" i="1"/>
  <c r="D24" i="1"/>
  <c r="D25" i="1"/>
  <c r="D26" i="1"/>
  <c r="D27" i="1"/>
  <c r="D28" i="1"/>
  <c r="D29" i="1"/>
  <c r="D30" i="1"/>
  <c r="D32" i="1"/>
  <c r="D33" i="1"/>
  <c r="D34" i="1"/>
  <c r="D35" i="1"/>
  <c r="D37" i="1"/>
  <c r="D38" i="1"/>
  <c r="D39" i="1"/>
  <c r="D40" i="1"/>
  <c r="D41" i="1"/>
  <c r="D42" i="1"/>
  <c r="D43" i="1"/>
  <c r="D44" i="1"/>
  <c r="D45" i="1"/>
  <c r="C46" i="1"/>
  <c r="D46" i="1"/>
  <c r="D48" i="1"/>
  <c r="D49" i="1"/>
  <c r="D50" i="1"/>
  <c r="D51" i="1"/>
  <c r="D52" i="1"/>
  <c r="D54" i="1"/>
  <c r="D55" i="1"/>
  <c r="D56" i="1"/>
  <c r="D58" i="1"/>
  <c r="D59" i="1"/>
  <c r="D60" i="1"/>
  <c r="D61" i="1"/>
  <c r="D62" i="1"/>
  <c r="D63" i="1"/>
  <c r="D5" i="1"/>
  <c r="D4" i="1"/>
</calcChain>
</file>

<file path=xl/sharedStrings.xml><?xml version="1.0" encoding="utf-8"?>
<sst xmlns="http://schemas.openxmlformats.org/spreadsheetml/2006/main" count="93" uniqueCount="68">
  <si>
    <r>
      <t xml:space="preserve">IMI  </t>
    </r>
    <r>
      <rPr>
        <b/>
        <u/>
        <sz val="23"/>
        <rFont val="Berlin Sans FB"/>
        <family val="2"/>
      </rPr>
      <t>FABRICACIONES METALICAS</t>
    </r>
  </si>
  <si>
    <t>DISTRIBUIDOR</t>
  </si>
  <si>
    <t>$ Arg.</t>
  </si>
  <si>
    <t>USD</t>
  </si>
  <si>
    <t>$Arg.</t>
  </si>
  <si>
    <r>
      <rPr>
        <b/>
        <i/>
        <sz val="20"/>
        <color rgb="FF000000"/>
        <rFont val="Segoe UI Black"/>
        <family val="2"/>
      </rPr>
      <t>MENSULA STAMPA EPOXI</t>
    </r>
    <r>
      <rPr>
        <b/>
        <i/>
        <sz val="18"/>
        <color rgb="FF000000"/>
        <rFont val="Segoe UI Black"/>
        <family val="2"/>
      </rPr>
      <t xml:space="preserve"> </t>
    </r>
    <r>
      <rPr>
        <b/>
        <i/>
        <sz val="14"/>
        <color rgb="FF000000"/>
        <rFont val="Segoe UI Black"/>
        <family val="2"/>
      </rPr>
      <t>(s/soldadura x par)</t>
    </r>
  </si>
  <si>
    <t>PRECIO</t>
  </si>
  <si>
    <t>M420/ Stampa Epoxi (2mm.) 60kg</t>
  </si>
  <si>
    <t>M515/ Stampa Epoxi (2mm) 70kg.</t>
  </si>
  <si>
    <t>M-515 Stampa/ Galvanizada</t>
  </si>
  <si>
    <t>MENSULAS  SOLDADAS EPOXI (x par)</t>
  </si>
  <si>
    <t>Mensula M420 / Recta Epoxi (Hasta 3000 fgs.) 60kg.</t>
  </si>
  <si>
    <t>Mensula M420 / Sold. Epoxi (Hasta 4500 fgs.) 80kg.</t>
  </si>
  <si>
    <t>Mensula M520 / Sold. Epoxi (Hasta 6000 fgs.) 90kg.</t>
  </si>
  <si>
    <t>Mensula M620 / Ref. Epoxi (Hasta 9000 fgs.) 120kg.</t>
  </si>
  <si>
    <t>Mensula M720 / Ref. Epoxi (Hasta 12000 fgs.) 140kg.</t>
  </si>
  <si>
    <t>Mensula M820 / Force Epoxi (Hasta 18000 fgs.) 180kg.</t>
  </si>
  <si>
    <t>Mensula M1270 / Super Force Epoxi (Hasta 250kg.)</t>
  </si>
  <si>
    <t>Mensula M520 / Force Epoxi (Hasta 130kg.)</t>
  </si>
  <si>
    <t>Mensula M620 / Force Epoxi (Hasta 150kg.)</t>
  </si>
  <si>
    <t xml:space="preserve">Mensula Caballete /420X155 Epoxi </t>
  </si>
  <si>
    <t>Guia multiproposito M1270 Epoxi</t>
  </si>
  <si>
    <t>Mensula SOPORTE REGULABLE P/ TECHO INCLINADO</t>
  </si>
  <si>
    <t>Mensula SOPORTE REGULABLE P/ BAJO TECHO</t>
  </si>
  <si>
    <t>Soporte P/ BIDON Epoxi</t>
  </si>
  <si>
    <t>SOPORTES + ACCESORIOS + KITS MONTAJE</t>
  </si>
  <si>
    <r>
      <t xml:space="preserve">KIT FIJACION </t>
    </r>
    <r>
      <rPr>
        <b/>
        <i/>
        <sz val="16"/>
        <color rgb="FF000000"/>
        <rFont val="Calibri"/>
        <family val="2"/>
      </rPr>
      <t>( Tirafondos+Tornillos+Tarugos+Bulones)</t>
    </r>
  </si>
  <si>
    <r>
      <t>KIT MONTAJE p/Colgar Reforzado</t>
    </r>
    <r>
      <rPr>
        <b/>
        <i/>
        <sz val="16"/>
        <color rgb="FF000000"/>
        <rFont val="Calibri"/>
        <family val="2"/>
      </rPr>
      <t>( c/Kit armado + fijacion)</t>
    </r>
  </si>
  <si>
    <t>Mensulas p/Colgar con Viga Omega</t>
  </si>
  <si>
    <r>
      <t xml:space="preserve">Kit x4 Tacos de Goma p/Mensula </t>
    </r>
    <r>
      <rPr>
        <b/>
        <i/>
        <sz val="16"/>
        <color rgb="FF000000"/>
        <rFont val="Calibri"/>
        <family val="2"/>
      </rPr>
      <t>(Doble tuerca y arandelas)</t>
    </r>
  </si>
  <si>
    <r>
      <t xml:space="preserve">Kit x4 Tacos de Goma p/Piso </t>
    </r>
    <r>
      <rPr>
        <b/>
        <i/>
        <sz val="16"/>
        <color rgb="FF000000"/>
        <rFont val="Calibri"/>
        <family val="2"/>
      </rPr>
      <t>(Doble tuerca y arandelas)</t>
    </r>
  </si>
  <si>
    <t xml:space="preserve">SOPORTE AUXILIAR c/Velcro  (Nuevo Modelo) </t>
  </si>
  <si>
    <r>
      <t>ELEVA-CONDENSADORAS c/Malacate</t>
    </r>
    <r>
      <rPr>
        <b/>
        <i/>
        <sz val="16"/>
        <color rgb="FF000000"/>
        <rFont val="Calibri"/>
        <family val="2"/>
      </rPr>
      <t xml:space="preserve"> (Carga hasta 120kg.)</t>
    </r>
  </si>
  <si>
    <t>FLEJE Perforado Galvanizado (Rollo x 30mtrs.)</t>
  </si>
  <si>
    <t>MENSULA  STAMPA  GALVANIZADA</t>
  </si>
  <si>
    <t>Mensula M420/ Stampa Epoxi</t>
  </si>
  <si>
    <t>Mensula M515/ Stampa Epoxi</t>
  </si>
  <si>
    <t>Mensula M420/ Stampa Galvanizada</t>
  </si>
  <si>
    <t>Mensula M515/ Stampa Galvanizada</t>
  </si>
  <si>
    <t>MENSULAS SOLDADAS GALVANIZADAS 450°</t>
  </si>
  <si>
    <t>Mensula M410 / Recta Galva</t>
  </si>
  <si>
    <t>Mensula M420 / Sold. Galva</t>
  </si>
  <si>
    <t>Mensula M520/ Sold. Galva</t>
  </si>
  <si>
    <t>Mensula 620/ Ref. Sold. Galva</t>
  </si>
  <si>
    <t>Mensula 720/ Ref. Sold. Galva</t>
  </si>
  <si>
    <t>Mensula 820/ Force Sold. Galva</t>
  </si>
  <si>
    <t>Mensula 1270/ Super Force Galva</t>
  </si>
  <si>
    <t>Mensula 520/ Force Galva</t>
  </si>
  <si>
    <t>Mensula 620/ Force Galva</t>
  </si>
  <si>
    <t>Fleje perforado galvanizado (Rollo x 30mtrs.)</t>
  </si>
  <si>
    <t>MENSULA INVERTIDAS EPOXI</t>
  </si>
  <si>
    <t>Mensula M420/ Inverter Epoxi</t>
  </si>
  <si>
    <t>Mensula M520/ Inverter Epoxi</t>
  </si>
  <si>
    <t>Mensula M620/ Ref. Inverter Epoxi</t>
  </si>
  <si>
    <t>Mensula M720/ Ref. Inverter Epoxi</t>
  </si>
  <si>
    <t>Mensula M820/ Force Inverter Epoxi</t>
  </si>
  <si>
    <t>CARROS DE CARGA + ELEVADOR</t>
  </si>
  <si>
    <t xml:space="preserve">CARRO DE CARGA  (Cap.150 kg.) </t>
  </si>
  <si>
    <t>CARRO DE CARGA  (Cap. 200 kg.)</t>
  </si>
  <si>
    <t>CARRO de CARGA ELEVADOR (H.1050mm.+ Cap.150kg.)</t>
  </si>
  <si>
    <t>ZORRAS &amp; APILADORES HIDRAULICOS</t>
  </si>
  <si>
    <t>Zorra hidraulica Reacondicionada</t>
  </si>
  <si>
    <t>Zorra hidraulica Euro</t>
  </si>
  <si>
    <t>Zorra hidraulica Reforzada</t>
  </si>
  <si>
    <t>Apilador hidraulico M-1600</t>
  </si>
  <si>
    <t>Apilador hidraulico M-2500</t>
  </si>
  <si>
    <t>Apilador hidraulico M-3000</t>
  </si>
  <si>
    <t xml:space="preserve"> LINEA ACERO INOXIDABLE - FABRICACION X PEDIDO.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</si>
</sst>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scheme val="minor"/>
    </font>
    <font>
      <b/>
      <i/>
      <sz val="16"/>
      <color rgb="FF000000"/>
      <name val="Calibri"/>
      <family val="2"/>
    </font>
    <font>
      <i/>
      <sz val="14"/>
      <color rgb="FF000000"/>
      <name val="Calibri"/>
      <family val="2"/>
    </font>
    <font>
      <b/>
      <i/>
      <sz val="20"/>
      <color rgb="FF000000"/>
      <name val="Calibri"/>
      <family val="2"/>
    </font>
    <font>
      <b/>
      <i/>
      <sz val="18"/>
      <color rgb="FF000000"/>
      <name val="Calibri"/>
      <family val="2"/>
    </font>
    <font>
      <b/>
      <sz val="37"/>
      <name val="Berlin Sans FB"/>
      <family val="2"/>
    </font>
    <font>
      <b/>
      <i/>
      <sz val="18"/>
      <color rgb="FF000000"/>
      <name val="Segoe UI Black"/>
      <family val="2"/>
    </font>
    <font>
      <b/>
      <i/>
      <sz val="14"/>
      <color rgb="FF000000"/>
      <name val="Segoe UI Black"/>
      <family val="2"/>
    </font>
    <font>
      <b/>
      <i/>
      <sz val="20"/>
      <color rgb="FF000000"/>
      <name val="Segoe UI Black"/>
      <family val="2"/>
    </font>
    <font>
      <b/>
      <u/>
      <sz val="23"/>
      <name val="Berlin Sans FB"/>
      <family val="2"/>
    </font>
    <font>
      <b/>
      <i/>
      <sz val="16"/>
      <name val="Verdana"/>
      <family val="2"/>
    </font>
    <font>
      <i/>
      <sz val="18"/>
      <color rgb="FF000000"/>
      <name val="Verdana"/>
      <family val="2"/>
    </font>
    <font>
      <b/>
      <i/>
      <u/>
      <sz val="12"/>
      <name val="Segoe UI Black"/>
      <family val="2"/>
    </font>
    <font>
      <b/>
      <sz val="12"/>
      <color rgb="FF000000"/>
      <name val="Bookman Old Style"/>
      <family val="1"/>
    </font>
    <font>
      <b/>
      <i/>
      <sz val="14"/>
      <color rgb="FF000000"/>
      <name val="Calibri"/>
      <family val="2"/>
      <scheme val="minor"/>
    </font>
    <font>
      <b/>
      <i/>
      <sz val="16"/>
      <color rgb="FF000000"/>
      <name val="Segoe UI Black"/>
      <family val="2"/>
    </font>
    <font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2" borderId="1" xfId="0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0" fontId="8" fillId="2" borderId="1" xfId="0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3" fillId="2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2" fillId="2" borderId="4" xfId="0" applyNumberFormat="1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0" fontId="14" fillId="3" borderId="7" xfId="0" applyFont="1" applyFill="1" applyBorder="1"/>
    <xf numFmtId="1" fontId="12" fillId="2" borderId="6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13" fillId="2" borderId="1" xfId="0" applyNumberFormat="1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6" fillId="0" borderId="3" xfId="0" applyFont="1" applyBorder="1"/>
    <xf numFmtId="0" fontId="6" fillId="0" borderId="2" xfId="0" applyFont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6"/>
  <sheetViews>
    <sheetView tabSelected="1" workbookViewId="0">
      <selection activeCell="H29" sqref="H29"/>
    </sheetView>
  </sheetViews>
  <sheetFormatPr defaultColWidth="14.390625" defaultRowHeight="15" customHeight="1" x14ac:dyDescent="0.2"/>
  <cols>
    <col min="1" max="1" width="88.24609375" customWidth="1"/>
    <col min="2" max="2" width="17.62109375" hidden="1" customWidth="1"/>
    <col min="3" max="3" width="17.890625" customWidth="1"/>
    <col min="4" max="4" width="18.6953125" customWidth="1"/>
    <col min="5" max="5" width="8.47265625" customWidth="1"/>
  </cols>
  <sheetData>
    <row r="1" spans="1:5" ht="66.75" customHeight="1" thickBot="1" x14ac:dyDescent="0.6">
      <c r="A1" s="1" t="s">
        <v>0</v>
      </c>
      <c r="B1" s="13" t="s">
        <v>1</v>
      </c>
      <c r="C1" s="16" t="s">
        <v>1</v>
      </c>
      <c r="D1" s="16" t="s">
        <v>1</v>
      </c>
      <c r="E1" s="15">
        <v>1425</v>
      </c>
    </row>
    <row r="2" spans="1:5" ht="21.75" thickBot="1" x14ac:dyDescent="0.35">
      <c r="A2" s="10"/>
      <c r="B2" s="12" t="s">
        <v>2</v>
      </c>
      <c r="C2" s="14" t="s">
        <v>3</v>
      </c>
      <c r="D2" s="14" t="s">
        <v>4</v>
      </c>
    </row>
    <row r="3" spans="1:5" ht="27.75" customHeight="1" thickBot="1" x14ac:dyDescent="0.5">
      <c r="A3" s="2" t="s">
        <v>5</v>
      </c>
      <c r="B3" s="11" t="s">
        <v>6</v>
      </c>
      <c r="C3" s="11" t="s">
        <v>6</v>
      </c>
      <c r="D3" s="11" t="s">
        <v>6</v>
      </c>
    </row>
    <row r="4" spans="1:5" ht="24.75" customHeight="1" thickBot="1" x14ac:dyDescent="0.4">
      <c r="A4" s="4" t="s">
        <v>7</v>
      </c>
      <c r="B4" s="3">
        <v>4981</v>
      </c>
      <c r="C4" s="17">
        <f>(B4/1250)</f>
        <v>3.9847999999999999</v>
      </c>
      <c r="D4" s="3">
        <f>(C4*E1)</f>
        <v>5678.34</v>
      </c>
    </row>
    <row r="5" spans="1:5" ht="23.25" customHeight="1" thickBot="1" x14ac:dyDescent="0.4">
      <c r="A5" s="4" t="s">
        <v>8</v>
      </c>
      <c r="B5" s="3">
        <v>5993</v>
      </c>
      <c r="C5" s="17">
        <f>(B5/1250)</f>
        <v>4.7944000000000004</v>
      </c>
      <c r="D5" s="3">
        <f>(C5*E1)</f>
        <v>6832.02</v>
      </c>
    </row>
    <row r="6" spans="1:5" ht="50.25" hidden="1" customHeight="1" thickBot="1" x14ac:dyDescent="0.4">
      <c r="A6" s="5" t="s">
        <v>9</v>
      </c>
      <c r="B6" s="3">
        <v>4981</v>
      </c>
      <c r="C6" s="17">
        <f>(B6/1400)</f>
        <v>3.5578571428571428</v>
      </c>
      <c r="D6" s="3">
        <f t="shared" ref="D6:D46" si="0">(C6*E2)</f>
        <v>0</v>
      </c>
    </row>
    <row r="7" spans="1:5" ht="27.75" customHeight="1" thickBot="1" x14ac:dyDescent="0.5">
      <c r="A7" s="6" t="s">
        <v>10</v>
      </c>
      <c r="B7" s="11" t="s">
        <v>6</v>
      </c>
      <c r="C7" s="18" t="s">
        <v>6</v>
      </c>
      <c r="D7" s="11" t="s">
        <v>6</v>
      </c>
    </row>
    <row r="8" spans="1:5" ht="26.25" customHeight="1" thickBot="1" x14ac:dyDescent="0.4">
      <c r="A8" s="4" t="s">
        <v>11</v>
      </c>
      <c r="B8" s="3">
        <v>5353</v>
      </c>
      <c r="C8" s="17">
        <f>(B8/1250)</f>
        <v>4.2824</v>
      </c>
      <c r="D8" s="3">
        <f>(C8*E1)</f>
        <v>6102.42</v>
      </c>
    </row>
    <row r="9" spans="1:5" ht="25.5" customHeight="1" thickBot="1" x14ac:dyDescent="0.4">
      <c r="A9" s="4" t="s">
        <v>12</v>
      </c>
      <c r="B9" s="3">
        <v>5791</v>
      </c>
      <c r="C9" s="17">
        <f>(B9/1215)</f>
        <v>4.7662551440329217</v>
      </c>
      <c r="D9" s="3">
        <f>(C9*E1)</f>
        <v>6791.9135802469136</v>
      </c>
    </row>
    <row r="10" spans="1:5" ht="21.75" customHeight="1" thickBot="1" x14ac:dyDescent="0.4">
      <c r="A10" s="4" t="s">
        <v>13</v>
      </c>
      <c r="B10" s="3">
        <v>6949</v>
      </c>
      <c r="C10" s="17">
        <f>(B10/1223)</f>
        <v>5.6819296811120195</v>
      </c>
      <c r="D10" s="3">
        <f>(C10*E1)</f>
        <v>8096.7497955846275</v>
      </c>
    </row>
    <row r="11" spans="1:5" ht="24" customHeight="1" thickBot="1" x14ac:dyDescent="0.4">
      <c r="A11" s="4" t="s">
        <v>14</v>
      </c>
      <c r="B11" s="3">
        <v>11327</v>
      </c>
      <c r="C11" s="17">
        <f>(B11/1233)</f>
        <v>9.1865369018653684</v>
      </c>
      <c r="D11" s="3">
        <f>(C11*E1)</f>
        <v>13090.81508515815</v>
      </c>
    </row>
    <row r="12" spans="1:5" ht="25.5" customHeight="1" thickBot="1" x14ac:dyDescent="0.4">
      <c r="A12" s="4" t="s">
        <v>15</v>
      </c>
      <c r="B12" s="3">
        <v>13346</v>
      </c>
      <c r="C12" s="17">
        <f>(B12/1225)</f>
        <v>10.89469387755102</v>
      </c>
      <c r="D12" s="3">
        <f>(C12*E1)</f>
        <v>15524.938775510203</v>
      </c>
    </row>
    <row r="13" spans="1:5" ht="26.25" customHeight="1" thickBot="1" x14ac:dyDescent="0.4">
      <c r="A13" s="4" t="s">
        <v>16</v>
      </c>
      <c r="B13" s="3">
        <v>18660</v>
      </c>
      <c r="C13" s="17">
        <f>(B13/1237)</f>
        <v>15.084882780921584</v>
      </c>
      <c r="D13" s="3">
        <f>(C13*E1)</f>
        <v>21495.957962813256</v>
      </c>
    </row>
    <row r="14" spans="1:5" ht="24.75" customHeight="1" thickBot="1" x14ac:dyDescent="0.4">
      <c r="A14" s="4" t="s">
        <v>17</v>
      </c>
      <c r="B14" s="3">
        <v>47623</v>
      </c>
      <c r="C14" s="17">
        <f t="shared" ref="C14:C18" si="1">(B14/1237)</f>
        <v>38.498787388843979</v>
      </c>
      <c r="D14" s="3">
        <f>(C14*E1)</f>
        <v>54860.772029102671</v>
      </c>
    </row>
    <row r="15" spans="1:5" ht="24.75" customHeight="1" thickBot="1" x14ac:dyDescent="0.4">
      <c r="A15" s="4" t="s">
        <v>18</v>
      </c>
      <c r="B15" s="3">
        <v>16379</v>
      </c>
      <c r="C15" s="17">
        <f t="shared" si="1"/>
        <v>13.240905416329831</v>
      </c>
      <c r="D15" s="3">
        <f>(C15*E1)</f>
        <v>18868.290218270009</v>
      </c>
    </row>
    <row r="16" spans="1:5" ht="24.75" customHeight="1" thickBot="1" x14ac:dyDescent="0.4">
      <c r="A16" s="4" t="s">
        <v>19</v>
      </c>
      <c r="B16" s="3">
        <v>17835</v>
      </c>
      <c r="C16" s="17">
        <f t="shared" si="1"/>
        <v>14.417946645109135</v>
      </c>
      <c r="D16" s="3">
        <f>(C16*E1)</f>
        <v>20545.573969280518</v>
      </c>
    </row>
    <row r="17" spans="1:4" ht="24" customHeight="1" thickBot="1" x14ac:dyDescent="0.4">
      <c r="A17" s="4" t="s">
        <v>20</v>
      </c>
      <c r="B17" s="3">
        <v>7924</v>
      </c>
      <c r="C17" s="17">
        <f t="shared" si="1"/>
        <v>6.4058205335489085</v>
      </c>
      <c r="D17" s="3">
        <f>(C17*E1)</f>
        <v>9128.2942603071951</v>
      </c>
    </row>
    <row r="18" spans="1:4" ht="23.25" customHeight="1" thickBot="1" x14ac:dyDescent="0.4">
      <c r="A18" s="4" t="s">
        <v>21</v>
      </c>
      <c r="B18" s="3">
        <v>6965</v>
      </c>
      <c r="C18" s="17">
        <f t="shared" si="1"/>
        <v>5.6305578011317703</v>
      </c>
      <c r="D18" s="3">
        <f>(C18*E1)</f>
        <v>8023.5448666127722</v>
      </c>
    </row>
    <row r="19" spans="1:4" ht="23.25" customHeight="1" thickBot="1" x14ac:dyDescent="0.4">
      <c r="A19" s="4" t="s">
        <v>22</v>
      </c>
      <c r="B19" s="3">
        <v>114000</v>
      </c>
      <c r="C19" s="17">
        <f>(B19/1715)</f>
        <v>66.472303206997083</v>
      </c>
      <c r="D19" s="3">
        <f>(C19*E1)</f>
        <v>94723.032069970839</v>
      </c>
    </row>
    <row r="20" spans="1:4" ht="23.25" customHeight="1" thickBot="1" x14ac:dyDescent="0.4">
      <c r="A20" s="4" t="s">
        <v>23</v>
      </c>
      <c r="B20" s="3">
        <v>87600</v>
      </c>
      <c r="C20" s="17">
        <f>(B20/1915)</f>
        <v>45.744125326370757</v>
      </c>
      <c r="D20" s="3">
        <f>(C20*E1)</f>
        <v>65185.378590078326</v>
      </c>
    </row>
    <row r="21" spans="1:4" ht="24" customHeight="1" thickBot="1" x14ac:dyDescent="0.4">
      <c r="A21" s="4" t="s">
        <v>24</v>
      </c>
      <c r="B21" s="3">
        <v>3799</v>
      </c>
      <c r="C21" s="17">
        <f>(B21/1075)</f>
        <v>3.5339534883720929</v>
      </c>
      <c r="D21" s="3">
        <f>(C21*E1)</f>
        <v>5035.8837209302328</v>
      </c>
    </row>
    <row r="22" spans="1:4" ht="30" customHeight="1" thickBot="1" x14ac:dyDescent="0.45">
      <c r="A22" s="7" t="s">
        <v>25</v>
      </c>
      <c r="B22" s="11" t="s">
        <v>6</v>
      </c>
      <c r="C22" s="18" t="s">
        <v>6</v>
      </c>
      <c r="D22" s="11" t="s">
        <v>6</v>
      </c>
    </row>
    <row r="23" spans="1:4" ht="24" customHeight="1" thickBot="1" x14ac:dyDescent="0.4">
      <c r="A23" s="4" t="s">
        <v>26</v>
      </c>
      <c r="B23" s="3">
        <v>1380</v>
      </c>
      <c r="C23" s="17">
        <f>(B23/1232)</f>
        <v>1.1201298701298701</v>
      </c>
      <c r="D23" s="3">
        <f>(C23*E1)</f>
        <v>1596.1850649350649</v>
      </c>
    </row>
    <row r="24" spans="1:4" ht="24" customHeight="1" thickBot="1" x14ac:dyDescent="0.4">
      <c r="A24" s="4" t="s">
        <v>27</v>
      </c>
      <c r="B24" s="3">
        <v>23400</v>
      </c>
      <c r="C24" s="17">
        <f t="shared" ref="C24:C30" si="2">(B24/1250)</f>
        <v>18.72</v>
      </c>
      <c r="D24" s="3">
        <f>(C24*E1)</f>
        <v>26676</v>
      </c>
    </row>
    <row r="25" spans="1:4" ht="24" customHeight="1" thickBot="1" x14ac:dyDescent="0.4">
      <c r="A25" s="4" t="s">
        <v>28</v>
      </c>
      <c r="B25" s="3">
        <v>18840</v>
      </c>
      <c r="C25" s="17">
        <f t="shared" si="2"/>
        <v>15.071999999999999</v>
      </c>
      <c r="D25" s="3">
        <f>(C25*E1)</f>
        <v>21477.599999999999</v>
      </c>
    </row>
    <row r="26" spans="1:4" ht="24" customHeight="1" thickBot="1" x14ac:dyDescent="0.4">
      <c r="A26" s="4" t="s">
        <v>29</v>
      </c>
      <c r="B26" s="3">
        <v>1822</v>
      </c>
      <c r="C26" s="17">
        <f>(B26/1150)</f>
        <v>1.5843478260869566</v>
      </c>
      <c r="D26" s="3">
        <f>(C26*E1)</f>
        <v>2257.695652173913</v>
      </c>
    </row>
    <row r="27" spans="1:4" ht="24" customHeight="1" thickBot="1" x14ac:dyDescent="0.4">
      <c r="A27" s="4" t="s">
        <v>30</v>
      </c>
      <c r="B27" s="3">
        <v>2164</v>
      </c>
      <c r="C27" s="17">
        <f>(B27/1207)</f>
        <v>1.7928748964374481</v>
      </c>
      <c r="D27" s="3">
        <f>(C27*E1)</f>
        <v>2554.8467274233635</v>
      </c>
    </row>
    <row r="28" spans="1:4" ht="24" customHeight="1" thickBot="1" x14ac:dyDescent="0.4">
      <c r="A28" s="4" t="s">
        <v>31</v>
      </c>
      <c r="B28" s="3">
        <v>19371</v>
      </c>
      <c r="C28" s="17">
        <f t="shared" si="2"/>
        <v>15.4968</v>
      </c>
      <c r="D28" s="3">
        <f>(C28*E1)</f>
        <v>22082.94</v>
      </c>
    </row>
    <row r="29" spans="1:4" ht="24" customHeight="1" thickBot="1" x14ac:dyDescent="0.4">
      <c r="A29" s="4" t="s">
        <v>32</v>
      </c>
      <c r="B29" s="3">
        <v>107491</v>
      </c>
      <c r="C29" s="17">
        <f t="shared" si="2"/>
        <v>85.992800000000003</v>
      </c>
      <c r="D29" s="3">
        <f>(C29*E1)</f>
        <v>122539.74</v>
      </c>
    </row>
    <row r="30" spans="1:4" ht="24" customHeight="1" thickBot="1" x14ac:dyDescent="0.4">
      <c r="A30" s="4" t="s">
        <v>33</v>
      </c>
      <c r="B30" s="3">
        <v>12545</v>
      </c>
      <c r="C30" s="17">
        <f t="shared" si="2"/>
        <v>10.036</v>
      </c>
      <c r="D30" s="3">
        <f>(C30*E1)</f>
        <v>14301.3</v>
      </c>
    </row>
    <row r="31" spans="1:4" ht="29.25" customHeight="1" thickBot="1" x14ac:dyDescent="0.5">
      <c r="A31" s="8" t="s">
        <v>34</v>
      </c>
      <c r="B31" s="11" t="s">
        <v>6</v>
      </c>
      <c r="C31" s="18" t="s">
        <v>6</v>
      </c>
      <c r="D31" s="11" t="s">
        <v>6</v>
      </c>
    </row>
    <row r="32" spans="1:4" ht="24.75" customHeight="1" thickBot="1" x14ac:dyDescent="0.4">
      <c r="A32" s="4" t="s">
        <v>35</v>
      </c>
      <c r="B32" s="3">
        <v>4985</v>
      </c>
      <c r="C32" s="17">
        <f>(B32/1270)</f>
        <v>3.9251968503937009</v>
      </c>
      <c r="D32" s="3">
        <f>(C32*E1)</f>
        <v>5593.4055118110236</v>
      </c>
    </row>
    <row r="33" spans="1:4" ht="23.25" customHeight="1" thickBot="1" x14ac:dyDescent="0.4">
      <c r="A33" s="4" t="s">
        <v>36</v>
      </c>
      <c r="B33" s="3">
        <v>5995</v>
      </c>
      <c r="C33" s="17">
        <f t="shared" ref="C33:C35" si="3">(B33/1270)</f>
        <v>4.7204724409448815</v>
      </c>
      <c r="D33" s="3">
        <f>(C33*E1)</f>
        <v>6726.6732283464562</v>
      </c>
    </row>
    <row r="34" spans="1:4" ht="23.25" customHeight="1" thickBot="1" x14ac:dyDescent="0.4">
      <c r="A34" s="4" t="s">
        <v>37</v>
      </c>
      <c r="B34" s="3">
        <v>7186</v>
      </c>
      <c r="C34" s="17">
        <f t="shared" si="3"/>
        <v>5.6582677165354331</v>
      </c>
      <c r="D34" s="3">
        <f>(C34*E1)</f>
        <v>8063.0314960629921</v>
      </c>
    </row>
    <row r="35" spans="1:4" ht="21.75" customHeight="1" thickBot="1" x14ac:dyDescent="0.4">
      <c r="A35" s="4" t="s">
        <v>38</v>
      </c>
      <c r="B35" s="3">
        <v>9225</v>
      </c>
      <c r="C35" s="17">
        <f t="shared" si="3"/>
        <v>7.2637795275590555</v>
      </c>
      <c r="D35" s="3">
        <f>(C35*E1)</f>
        <v>10350.885826771655</v>
      </c>
    </row>
    <row r="36" spans="1:4" ht="30" customHeight="1" thickBot="1" x14ac:dyDescent="0.45">
      <c r="A36" s="2" t="s">
        <v>39</v>
      </c>
      <c r="B36" s="11" t="s">
        <v>6</v>
      </c>
      <c r="C36" s="18" t="s">
        <v>6</v>
      </c>
      <c r="D36" s="11" t="s">
        <v>6</v>
      </c>
    </row>
    <row r="37" spans="1:4" ht="22.5" customHeight="1" thickBot="1" x14ac:dyDescent="0.4">
      <c r="A37" s="4" t="s">
        <v>40</v>
      </c>
      <c r="B37" s="3">
        <v>8349</v>
      </c>
      <c r="C37" s="17">
        <f>(B37/1270)</f>
        <v>6.5740157480314965</v>
      </c>
      <c r="D37" s="3">
        <f>(C37*E1)</f>
        <v>9367.9724409448827</v>
      </c>
    </row>
    <row r="38" spans="1:4" ht="21.75" customHeight="1" thickBot="1" x14ac:dyDescent="0.4">
      <c r="A38" s="4" t="s">
        <v>41</v>
      </c>
      <c r="B38" s="3">
        <v>9197</v>
      </c>
      <c r="C38" s="17">
        <f t="shared" ref="C38:C45" si="4">(B38/1270)</f>
        <v>7.2417322834645672</v>
      </c>
      <c r="D38" s="3">
        <f>(C38*E1)</f>
        <v>10319.468503937009</v>
      </c>
    </row>
    <row r="39" spans="1:4" ht="23.25" customHeight="1" thickBot="1" x14ac:dyDescent="0.4">
      <c r="A39" s="4" t="s">
        <v>42</v>
      </c>
      <c r="B39" s="3">
        <v>10537</v>
      </c>
      <c r="C39" s="17">
        <f t="shared" si="4"/>
        <v>8.2968503937007867</v>
      </c>
      <c r="D39" s="3">
        <f>(C39*E1)</f>
        <v>11823.011811023622</v>
      </c>
    </row>
    <row r="40" spans="1:4" ht="21" customHeight="1" thickBot="1" x14ac:dyDescent="0.4">
      <c r="A40" s="4" t="s">
        <v>43</v>
      </c>
      <c r="B40" s="3">
        <v>17144</v>
      </c>
      <c r="C40" s="17">
        <f t="shared" si="4"/>
        <v>13.499212598425197</v>
      </c>
      <c r="D40" s="3">
        <f>(C40*E1)</f>
        <v>19236.377952755905</v>
      </c>
    </row>
    <row r="41" spans="1:4" ht="22.5" customHeight="1" thickBot="1" x14ac:dyDescent="0.4">
      <c r="A41" s="4" t="s">
        <v>44</v>
      </c>
      <c r="B41" s="3">
        <v>18278</v>
      </c>
      <c r="C41" s="17">
        <f t="shared" si="4"/>
        <v>14.392125984251969</v>
      </c>
      <c r="D41" s="3">
        <f>(C41*E1)</f>
        <v>20508.779527559054</v>
      </c>
    </row>
    <row r="42" spans="1:4" ht="22.5" customHeight="1" thickBot="1" x14ac:dyDescent="0.4">
      <c r="A42" s="4" t="s">
        <v>45</v>
      </c>
      <c r="B42" s="3">
        <v>28753</v>
      </c>
      <c r="C42" s="17">
        <f t="shared" si="4"/>
        <v>22.640157480314961</v>
      </c>
      <c r="D42" s="3">
        <f>(C42*E1)</f>
        <v>32262.22440944882</v>
      </c>
    </row>
    <row r="43" spans="1:4" ht="21.75" customHeight="1" thickBot="1" x14ac:dyDescent="0.4">
      <c r="A43" s="4" t="s">
        <v>46</v>
      </c>
      <c r="B43" s="3">
        <v>71435</v>
      </c>
      <c r="C43" s="17">
        <f t="shared" si="4"/>
        <v>56.248031496062993</v>
      </c>
      <c r="D43" s="3">
        <f>(C43*E1)</f>
        <v>80153.444881889765</v>
      </c>
    </row>
    <row r="44" spans="1:4" ht="21.75" customHeight="1" thickBot="1" x14ac:dyDescent="0.4">
      <c r="A44" s="4" t="s">
        <v>47</v>
      </c>
      <c r="B44" s="3">
        <v>24109</v>
      </c>
      <c r="C44" s="17">
        <f t="shared" si="4"/>
        <v>18.983464566929133</v>
      </c>
      <c r="D44" s="3">
        <f>(C44*E1)</f>
        <v>27051.437007874014</v>
      </c>
    </row>
    <row r="45" spans="1:4" ht="22.5" customHeight="1" thickBot="1" x14ac:dyDescent="0.4">
      <c r="A45" s="4" t="s">
        <v>48</v>
      </c>
      <c r="B45" s="3">
        <v>26252</v>
      </c>
      <c r="C45" s="17">
        <f t="shared" si="4"/>
        <v>20.670866141732283</v>
      </c>
      <c r="D45" s="3">
        <f>(C45*E1)</f>
        <v>29455.984251968504</v>
      </c>
    </row>
    <row r="46" spans="1:4" ht="27.75" hidden="1" customHeight="1" thickBot="1" x14ac:dyDescent="0.4">
      <c r="A46" s="4" t="s">
        <v>49</v>
      </c>
      <c r="B46" s="3">
        <v>4981</v>
      </c>
      <c r="C46" s="17">
        <f>(B46/1400)</f>
        <v>3.5578571428571428</v>
      </c>
      <c r="D46" s="3">
        <f t="shared" si="0"/>
        <v>0</v>
      </c>
    </row>
    <row r="47" spans="1:4" ht="33" customHeight="1" thickBot="1" x14ac:dyDescent="0.5">
      <c r="A47" s="8" t="s">
        <v>50</v>
      </c>
      <c r="B47" s="11" t="s">
        <v>6</v>
      </c>
      <c r="C47" s="18" t="s">
        <v>6</v>
      </c>
      <c r="D47" s="11" t="s">
        <v>6</v>
      </c>
    </row>
    <row r="48" spans="1:4" ht="22.5" customHeight="1" thickBot="1" x14ac:dyDescent="0.4">
      <c r="A48" s="4" t="s">
        <v>51</v>
      </c>
      <c r="B48" s="3">
        <v>7203</v>
      </c>
      <c r="C48" s="17">
        <f>(B48/1250)</f>
        <v>5.7624000000000004</v>
      </c>
      <c r="D48" s="3">
        <f>(C48*E1)</f>
        <v>8211.42</v>
      </c>
    </row>
    <row r="49" spans="1:5" ht="21.75" customHeight="1" thickBot="1" x14ac:dyDescent="0.4">
      <c r="A49" s="4" t="s">
        <v>52</v>
      </c>
      <c r="B49" s="3">
        <v>8252</v>
      </c>
      <c r="C49" s="17">
        <f t="shared" ref="C49:C52" si="5">(B49/1250)</f>
        <v>6.6016000000000004</v>
      </c>
      <c r="D49" s="3">
        <f>(C49*E1)</f>
        <v>9407.2800000000007</v>
      </c>
    </row>
    <row r="50" spans="1:5" ht="22.5" customHeight="1" thickBot="1" x14ac:dyDescent="0.4">
      <c r="A50" s="4" t="s">
        <v>53</v>
      </c>
      <c r="B50" s="3">
        <v>14037</v>
      </c>
      <c r="C50" s="17">
        <f t="shared" si="5"/>
        <v>11.2296</v>
      </c>
      <c r="D50" s="3">
        <f>(C50*E1)</f>
        <v>16002.18</v>
      </c>
    </row>
    <row r="51" spans="1:5" ht="22.5" customHeight="1" thickBot="1" x14ac:dyDescent="0.4">
      <c r="A51" s="4" t="s">
        <v>54</v>
      </c>
      <c r="B51" s="3">
        <v>15646</v>
      </c>
      <c r="C51" s="17">
        <f t="shared" si="5"/>
        <v>12.5168</v>
      </c>
      <c r="D51" s="3">
        <f>(C51*E1)</f>
        <v>17836.439999999999</v>
      </c>
    </row>
    <row r="52" spans="1:5" ht="21" customHeight="1" thickBot="1" x14ac:dyDescent="0.4">
      <c r="A52" s="4" t="s">
        <v>55</v>
      </c>
      <c r="B52" s="3">
        <v>24565</v>
      </c>
      <c r="C52" s="17">
        <f t="shared" si="5"/>
        <v>19.652000000000001</v>
      </c>
      <c r="D52" s="3">
        <f>(C52*E1)</f>
        <v>28004.100000000002</v>
      </c>
    </row>
    <row r="53" spans="1:5" ht="26.25" customHeight="1" thickBot="1" x14ac:dyDescent="0.5">
      <c r="A53" s="8" t="s">
        <v>56</v>
      </c>
      <c r="B53" s="11" t="s">
        <v>6</v>
      </c>
      <c r="C53" s="18" t="s">
        <v>6</v>
      </c>
      <c r="D53" s="11" t="s">
        <v>6</v>
      </c>
    </row>
    <row r="54" spans="1:5" ht="24" customHeight="1" thickBot="1" x14ac:dyDescent="0.4">
      <c r="A54" s="4" t="s">
        <v>57</v>
      </c>
      <c r="B54" s="3">
        <v>44579</v>
      </c>
      <c r="C54" s="17">
        <f>(B54/1250)</f>
        <v>35.663200000000003</v>
      </c>
      <c r="D54" s="3">
        <f>(C54*E1)</f>
        <v>50820.060000000005</v>
      </c>
    </row>
    <row r="55" spans="1:5" ht="22.5" customHeight="1" thickBot="1" x14ac:dyDescent="0.4">
      <c r="A55" s="4" t="s">
        <v>58</v>
      </c>
      <c r="B55" s="3">
        <v>50659</v>
      </c>
      <c r="C55" s="17">
        <f t="shared" ref="C55:C56" si="6">(B55/1250)</f>
        <v>40.527200000000001</v>
      </c>
      <c r="D55" s="3">
        <f>(C55*E1)</f>
        <v>57751.26</v>
      </c>
    </row>
    <row r="56" spans="1:5" ht="23.25" customHeight="1" thickBot="1" x14ac:dyDescent="0.4">
      <c r="A56" s="4" t="s">
        <v>59</v>
      </c>
      <c r="B56" s="3">
        <v>293234</v>
      </c>
      <c r="C56" s="17">
        <f t="shared" si="6"/>
        <v>234.5872</v>
      </c>
      <c r="D56" s="3">
        <f>(C56*E1)</f>
        <v>334286.76</v>
      </c>
    </row>
    <row r="57" spans="1:5" ht="30.75" customHeight="1" thickBot="1" x14ac:dyDescent="0.5">
      <c r="A57" s="8" t="s">
        <v>60</v>
      </c>
      <c r="B57" s="11" t="s">
        <v>6</v>
      </c>
      <c r="C57" s="18" t="s">
        <v>6</v>
      </c>
      <c r="D57" s="11" t="s">
        <v>6</v>
      </c>
    </row>
    <row r="58" spans="1:5" ht="23.1" customHeight="1" thickBot="1" x14ac:dyDescent="0.4">
      <c r="A58" s="9" t="s">
        <v>61</v>
      </c>
      <c r="B58" s="3">
        <v>283493</v>
      </c>
      <c r="C58" s="17">
        <f>(B58/1270)</f>
        <v>223.22283464566928</v>
      </c>
      <c r="D58" s="3">
        <f>(C58*E1)</f>
        <v>318092.53937007871</v>
      </c>
    </row>
    <row r="59" spans="1:5" ht="23.1" customHeight="1" thickBot="1" x14ac:dyDescent="0.4">
      <c r="A59" s="9" t="s">
        <v>62</v>
      </c>
      <c r="B59" s="3">
        <v>417779</v>
      </c>
      <c r="C59" s="17">
        <f t="shared" ref="C59:C63" si="7">(B59/1270)</f>
        <v>328.95984251968503</v>
      </c>
      <c r="D59" s="3">
        <f>(C59*E1)</f>
        <v>468767.77559055114</v>
      </c>
    </row>
    <row r="60" spans="1:5" ht="23.1" customHeight="1" thickBot="1" x14ac:dyDescent="0.4">
      <c r="A60" s="9" t="s">
        <v>63</v>
      </c>
      <c r="B60" s="3">
        <v>522223</v>
      </c>
      <c r="C60" s="17">
        <f t="shared" si="7"/>
        <v>411.19921259842522</v>
      </c>
      <c r="D60" s="3">
        <f>(C60*E1)</f>
        <v>585958.87795275589</v>
      </c>
    </row>
    <row r="61" spans="1:5" ht="23.1" customHeight="1" thickBot="1" x14ac:dyDescent="0.4">
      <c r="A61" s="9" t="s">
        <v>64</v>
      </c>
      <c r="B61" s="3">
        <v>1477146</v>
      </c>
      <c r="C61" s="17">
        <f t="shared" si="7"/>
        <v>1163.1070866141733</v>
      </c>
      <c r="D61" s="3">
        <f>(C61*E1)</f>
        <v>1657427.5984251969</v>
      </c>
    </row>
    <row r="62" spans="1:5" ht="23.1" customHeight="1" thickBot="1" x14ac:dyDescent="0.4">
      <c r="A62" s="9" t="s">
        <v>65</v>
      </c>
      <c r="B62" s="3">
        <v>2238100</v>
      </c>
      <c r="C62" s="17">
        <f t="shared" si="7"/>
        <v>1762.2834645669291</v>
      </c>
      <c r="D62" s="3">
        <f>(C62*E1)</f>
        <v>2511253.9370078738</v>
      </c>
    </row>
    <row r="63" spans="1:5" ht="23.1" customHeight="1" thickBot="1" x14ac:dyDescent="0.4">
      <c r="A63" s="9" t="s">
        <v>66</v>
      </c>
      <c r="B63" s="3">
        <v>2834926</v>
      </c>
      <c r="C63" s="17">
        <f t="shared" si="7"/>
        <v>2232.2251968503938</v>
      </c>
      <c r="D63" s="3">
        <f>(C63*E1)</f>
        <v>3180920.9055118114</v>
      </c>
    </row>
    <row r="64" spans="1:5" ht="23.1" customHeight="1" x14ac:dyDescent="0.4">
      <c r="A64" s="19" t="s">
        <v>67</v>
      </c>
      <c r="B64" s="20"/>
      <c r="C64" s="21"/>
      <c r="D64" s="22"/>
      <c r="E64" s="22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</sheetData>
  <mergeCells count="2">
    <mergeCell ref="A64:B64"/>
    <mergeCell ref="C64:E64"/>
  </mergeCells>
  <printOptions verticalCentere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1:A100"/>
  <sheetViews>
    <sheetView workbookViewId="0"/>
  </sheetViews>
  <sheetFormatPr defaultColWidth="14.390625" defaultRowHeight="15" customHeight="1" x14ac:dyDescent="0.2"/>
  <cols>
    <col min="1" max="6" width="14.39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"/>
  <sheetViews>
    <sheetView workbookViewId="0"/>
  </sheetViews>
  <sheetFormatPr defaultColWidth="14.390625" defaultRowHeight="15" customHeight="1" x14ac:dyDescent="0.2"/>
  <cols>
    <col min="1" max="6" width="9.9531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"/>
  <sheetViews>
    <sheetView workbookViewId="0"/>
  </sheetViews>
  <sheetFormatPr defaultColWidth="14.390625" defaultRowHeight="15" customHeight="1" x14ac:dyDescent="0.2"/>
  <cols>
    <col min="1" max="6" width="9.9531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Sheet1</vt:lpstr>
      <vt:lpstr>Hoja2</vt:lpstr>
      <vt:lpstr>Hoja3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cp:keywords/>
  <dc:description/>
  <cp:lastModifiedBy>Graciela alejandra fernandez</cp:lastModifiedBy>
  <cp:revision/>
  <dcterms:created xsi:type="dcterms:W3CDTF">2022-03-21T15:02:10Z</dcterms:created>
  <dcterms:modified xsi:type="dcterms:W3CDTF">2026-03-01T03:14:52Z</dcterms:modified>
  <cp:category/>
  <cp:contentStatus/>
</cp:coreProperties>
</file>