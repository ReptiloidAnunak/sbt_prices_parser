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8_{EF52534A-FC1A-3D47-B659-E8E133C1CE36}" xr6:coauthVersionLast="47" xr6:coauthVersionMax="47" xr10:uidLastSave="{00000000-0000-0000-0000-000000000000}"/>
  <bookViews>
    <workbookView xWindow="-120" yWindow="-120" windowWidth="19440" windowHeight="11520" xr2:uid="{CDF4E6CA-F28D-4C05-827A-1E7FAD67F38A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38" i="1"/>
  <c r="J37" i="1"/>
  <c r="J33" i="1"/>
  <c r="J32" i="1"/>
  <c r="J31" i="1"/>
  <c r="J30" i="1"/>
  <c r="J29" i="1"/>
  <c r="J28" i="1"/>
  <c r="E34" i="1"/>
  <c r="E40" i="1"/>
  <c r="E39" i="1"/>
  <c r="E38" i="1"/>
  <c r="E37" i="1"/>
  <c r="E36" i="1"/>
  <c r="E35" i="1"/>
  <c r="J24" i="1"/>
  <c r="J23" i="1"/>
  <c r="J22" i="1"/>
  <c r="J21" i="1"/>
  <c r="E30" i="1"/>
  <c r="E29" i="1"/>
  <c r="E28" i="1"/>
  <c r="E27" i="1"/>
  <c r="E26" i="1"/>
  <c r="J15" i="1"/>
  <c r="J14" i="1"/>
  <c r="J13" i="1"/>
  <c r="J12" i="1"/>
  <c r="J11" i="1"/>
  <c r="J10" i="1"/>
  <c r="J9" i="1"/>
  <c r="J8" i="1"/>
  <c r="J7" i="1"/>
  <c r="J6" i="1"/>
  <c r="D6" i="1"/>
  <c r="E6" i="1"/>
  <c r="E21" i="1"/>
  <c r="E20" i="1"/>
  <c r="E19" i="1"/>
  <c r="D18" i="1"/>
  <c r="E18" i="1"/>
  <c r="E17" i="1"/>
  <c r="D16" i="1"/>
  <c r="E16" i="1"/>
  <c r="D15" i="1"/>
  <c r="E15" i="1"/>
  <c r="D14" i="1"/>
  <c r="E14" i="1"/>
  <c r="D13" i="1"/>
  <c r="E13" i="1"/>
  <c r="D12" i="1"/>
  <c r="E12" i="1"/>
  <c r="D11" i="1"/>
  <c r="E11" i="1"/>
  <c r="D10" i="1"/>
  <c r="E10" i="1"/>
  <c r="D9" i="1"/>
  <c r="E9" i="1"/>
  <c r="D8" i="1"/>
  <c r="E8" i="1"/>
  <c r="D7" i="1"/>
  <c r="E7" i="1"/>
</calcChain>
</file>

<file path=xl/sharedStrings.xml><?xml version="1.0" encoding="utf-8"?>
<sst xmlns="http://schemas.openxmlformats.org/spreadsheetml/2006/main" count="118" uniqueCount="101">
  <si>
    <t xml:space="preserve">2 x 1 </t>
  </si>
  <si>
    <t xml:space="preserve">2 x 1,50 </t>
  </si>
  <si>
    <t xml:space="preserve">2 x 2,50 </t>
  </si>
  <si>
    <t xml:space="preserve">2 x 4 </t>
  </si>
  <si>
    <t xml:space="preserve">2 x 6 </t>
  </si>
  <si>
    <t xml:space="preserve">3 x 1 </t>
  </si>
  <si>
    <t xml:space="preserve">3 x 1,5 </t>
  </si>
  <si>
    <t xml:space="preserve">3 x 2,5 </t>
  </si>
  <si>
    <t xml:space="preserve">3 x 4 </t>
  </si>
  <si>
    <t xml:space="preserve">3 x 6 </t>
  </si>
  <si>
    <t xml:space="preserve">4 x 1,5 </t>
  </si>
  <si>
    <t xml:space="preserve">5 x 1,5 </t>
  </si>
  <si>
    <t xml:space="preserve">7 x 1,5 </t>
  </si>
  <si>
    <t xml:space="preserve">5 x 2,5 </t>
  </si>
  <si>
    <t xml:space="preserve">7 x 2,5 </t>
  </si>
  <si>
    <t>2 x 1,5</t>
  </si>
  <si>
    <t xml:space="preserve">2 x 2,5 </t>
  </si>
  <si>
    <t>2 x 4</t>
  </si>
  <si>
    <t xml:space="preserve"> 3 x 1,5  </t>
  </si>
  <si>
    <t xml:space="preserve"> 2 x 2,5 </t>
  </si>
  <si>
    <t xml:space="preserve">1 x 1,50 </t>
  </si>
  <si>
    <t xml:space="preserve">1 x 4 </t>
  </si>
  <si>
    <t xml:space="preserve">1 x 6 </t>
  </si>
  <si>
    <t>1 x 10</t>
  </si>
  <si>
    <t>1 x 1,5</t>
  </si>
  <si>
    <t>1 x 2,5</t>
  </si>
  <si>
    <t>1 x 4</t>
  </si>
  <si>
    <t>1 x 6</t>
  </si>
  <si>
    <t>TPRc1</t>
  </si>
  <si>
    <t>TPRc2</t>
  </si>
  <si>
    <t>TPRc3</t>
  </si>
  <si>
    <t>TPRc4</t>
  </si>
  <si>
    <t>TPRc5</t>
  </si>
  <si>
    <t>TPRc6</t>
  </si>
  <si>
    <t>TPRc7</t>
  </si>
  <si>
    <t>TPRc8</t>
  </si>
  <si>
    <t>TPRc9</t>
  </si>
  <si>
    <t>TPRc10</t>
  </si>
  <si>
    <t>TPRc11</t>
  </si>
  <si>
    <t>TPRc12</t>
  </si>
  <si>
    <t>TPRc13</t>
  </si>
  <si>
    <t>TPRc14</t>
  </si>
  <si>
    <t>TPRc15</t>
  </si>
  <si>
    <t>TPRa1</t>
  </si>
  <si>
    <t>TPRa2</t>
  </si>
  <si>
    <t>TPRa3</t>
  </si>
  <si>
    <t>TPRa4</t>
  </si>
  <si>
    <t>TPRa5</t>
  </si>
  <si>
    <t>TPRa6</t>
  </si>
  <si>
    <t>TPRa7</t>
  </si>
  <si>
    <t>TPRa8</t>
  </si>
  <si>
    <t>TPRa9</t>
  </si>
  <si>
    <t>TPRa10</t>
  </si>
  <si>
    <t>UNIc1</t>
  </si>
  <si>
    <t>UNIc2</t>
  </si>
  <si>
    <t>UNIc3</t>
  </si>
  <si>
    <t>UNIc4</t>
  </si>
  <si>
    <t>UNIc5</t>
  </si>
  <si>
    <t>UNIa1</t>
  </si>
  <si>
    <t>UNIa2</t>
  </si>
  <si>
    <t>UNIa3</t>
  </si>
  <si>
    <t>UNIa4</t>
  </si>
  <si>
    <r>
      <rPr>
        <b/>
        <i/>
        <sz val="14"/>
        <color theme="1"/>
        <rFont val="Verdana"/>
        <family val="2"/>
      </rPr>
      <t>Linea TITAN</t>
    </r>
    <r>
      <rPr>
        <sz val="12"/>
        <color theme="1"/>
        <rFont val="Verdana"/>
        <family val="2"/>
      </rPr>
      <t xml:space="preserve"> </t>
    </r>
    <r>
      <rPr>
        <i/>
        <sz val="11"/>
        <color theme="1"/>
        <rFont val="Verdana"/>
        <family val="2"/>
      </rPr>
      <t>(AlumCobre)</t>
    </r>
  </si>
  <si>
    <r>
      <rPr>
        <b/>
        <sz val="28"/>
        <color theme="1"/>
        <rFont val="Copperplate Gothic Bold"/>
        <family val="2"/>
      </rPr>
      <t xml:space="preserve">IMI </t>
    </r>
    <r>
      <rPr>
        <b/>
        <sz val="16"/>
        <color theme="1"/>
        <rFont val="Copperplate Gothic Bold"/>
        <family val="2"/>
      </rPr>
      <t xml:space="preserve">    </t>
    </r>
    <r>
      <rPr>
        <b/>
        <sz val="18"/>
        <color theme="1"/>
        <rFont val="Copperplate Gothic Bold"/>
        <family val="2"/>
      </rPr>
      <t xml:space="preserve">CONDUCTORES ELECTRICOS    </t>
    </r>
    <r>
      <rPr>
        <b/>
        <sz val="16"/>
        <color theme="1"/>
        <rFont val="Copperplate Gothic Bold"/>
        <family val="2"/>
      </rPr>
      <t xml:space="preserve">    </t>
    </r>
    <r>
      <rPr>
        <b/>
        <sz val="28"/>
        <color theme="1"/>
        <rFont val="Copperplate Gothic Bold"/>
        <family val="2"/>
      </rPr>
      <t>IMI</t>
    </r>
  </si>
  <si>
    <t>MODELO</t>
  </si>
  <si>
    <t>TIPO</t>
  </si>
  <si>
    <t>USD</t>
  </si>
  <si>
    <t>TIPO TALLER</t>
  </si>
  <si>
    <r>
      <rPr>
        <b/>
        <i/>
        <sz val="14"/>
        <color theme="1"/>
        <rFont val="Verdana"/>
        <family val="2"/>
      </rPr>
      <t>Linea CONEXTRIC</t>
    </r>
    <r>
      <rPr>
        <b/>
        <i/>
        <sz val="12"/>
        <color theme="1"/>
        <rFont val="Verdana"/>
        <family val="2"/>
      </rPr>
      <t xml:space="preserve"> </t>
    </r>
    <r>
      <rPr>
        <i/>
        <sz val="11"/>
        <color theme="1"/>
        <rFont val="Verdana"/>
        <family val="2"/>
      </rPr>
      <t>(100% COBRE)</t>
    </r>
  </si>
  <si>
    <t>TPRc16</t>
  </si>
  <si>
    <t xml:space="preserve">4 x 2,5 </t>
  </si>
  <si>
    <t>UNIPOLARES Linea TITAN</t>
  </si>
  <si>
    <t>$</t>
  </si>
  <si>
    <t>1 x 2,50</t>
  </si>
  <si>
    <t>2 x 2,5</t>
  </si>
  <si>
    <t>2 x 6</t>
  </si>
  <si>
    <t>3 x 2,5</t>
  </si>
  <si>
    <t>3 x 4</t>
  </si>
  <si>
    <t>3 x 6</t>
  </si>
  <si>
    <t>SUBc1</t>
  </si>
  <si>
    <t>SUBc2</t>
  </si>
  <si>
    <t>SUBc3</t>
  </si>
  <si>
    <t>SUBc4</t>
  </si>
  <si>
    <t>SUBc5</t>
  </si>
  <si>
    <t>SUBc6</t>
  </si>
  <si>
    <t>SUBc7</t>
  </si>
  <si>
    <t>SUBTERRANEOS  Linea CONEXTRIC</t>
  </si>
  <si>
    <t>UNIPOLARES  Linea CONEXTRIC</t>
  </si>
  <si>
    <t xml:space="preserve">2 x 1,5 </t>
  </si>
  <si>
    <t>3 x 1,5</t>
  </si>
  <si>
    <t>SUBa1</t>
  </si>
  <si>
    <t>SUBa2</t>
  </si>
  <si>
    <t>SUBa3</t>
  </si>
  <si>
    <t>SUBa4</t>
  </si>
  <si>
    <t>SUBa5</t>
  </si>
  <si>
    <t>SUBa6</t>
  </si>
  <si>
    <t>SUBTERRANEOS  Linea TITAN</t>
  </si>
  <si>
    <t>2 x 0,50</t>
  </si>
  <si>
    <t>2 x 0,75</t>
  </si>
  <si>
    <t>2 x 1</t>
  </si>
  <si>
    <t>CABLE DE BAJA POTENCIA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</si>
</sst>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Verdana"/>
      <family val="2"/>
    </font>
    <font>
      <b/>
      <sz val="12"/>
      <color theme="1"/>
      <name val="Verdana"/>
      <family val="2"/>
    </font>
    <font>
      <b/>
      <sz val="16"/>
      <color theme="1"/>
      <name val="Copperplate Gothic Bold"/>
      <family val="2"/>
    </font>
    <font>
      <b/>
      <sz val="18"/>
      <color theme="1"/>
      <name val="Copperplate Gothic Bold"/>
      <family val="2"/>
    </font>
    <font>
      <b/>
      <sz val="28"/>
      <color theme="1"/>
      <name val="Copperplate Gothic Bold"/>
      <family val="2"/>
    </font>
    <font>
      <b/>
      <i/>
      <sz val="12"/>
      <color theme="1"/>
      <name val="Verdana"/>
      <family val="2"/>
    </font>
    <font>
      <b/>
      <i/>
      <sz val="14"/>
      <color theme="1"/>
      <name val="Verdana"/>
      <family val="2"/>
    </font>
    <font>
      <i/>
      <sz val="11"/>
      <color theme="1"/>
      <name val="Verdana"/>
      <family val="2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2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6" xfId="0" applyBorder="1" applyAlignment="1"/>
    <xf numFmtId="0" fontId="0" fillId="0" borderId="7" xfId="0" applyBorder="1" applyAlignment="1"/>
    <xf numFmtId="0" fontId="7" fillId="2" borderId="5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2" borderId="6" xfId="0" applyFont="1" applyFill="1" applyBorder="1" applyAlignment="1"/>
    <xf numFmtId="0" fontId="11" fillId="2" borderId="7" xfId="0" applyFont="1" applyFill="1" applyBorder="1" applyAlignment="1"/>
    <xf numFmtId="0" fontId="12" fillId="2" borderId="6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8" fillId="2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1B7B1-15F7-4DB2-BFF2-6C38C6D93873}">
  <dimension ref="B1:K42"/>
  <sheetViews>
    <sheetView tabSelected="1" workbookViewId="0">
      <selection activeCell="N20" sqref="N20"/>
    </sheetView>
  </sheetViews>
  <sheetFormatPr defaultColWidth="10.76171875" defaultRowHeight="15" x14ac:dyDescent="0.2"/>
  <cols>
    <col min="1" max="1" width="6.45703125" customWidth="1"/>
    <col min="10" max="10" width="12.10546875" bestFit="1" customWidth="1"/>
  </cols>
  <sheetData>
    <row r="1" spans="2:11" ht="16.5" thickBot="1" x14ac:dyDescent="0.25">
      <c r="J1" s="1"/>
      <c r="K1" s="1"/>
    </row>
    <row r="2" spans="2:11" ht="29.25" customHeight="1" thickTop="1" thickBot="1" x14ac:dyDescent="0.45">
      <c r="B2" s="26" t="s">
        <v>63</v>
      </c>
      <c r="C2" s="27"/>
      <c r="D2" s="27"/>
      <c r="E2" s="27"/>
      <c r="F2" s="27"/>
      <c r="G2" s="27"/>
      <c r="H2" s="27"/>
      <c r="I2" s="27"/>
      <c r="J2" s="28"/>
      <c r="K2" s="1"/>
    </row>
    <row r="3" spans="2:11" ht="23.25" customHeight="1" thickBot="1" x14ac:dyDescent="0.25">
      <c r="B3" s="29" t="s">
        <v>68</v>
      </c>
      <c r="C3" s="30"/>
      <c r="D3" s="30"/>
      <c r="E3" s="30"/>
      <c r="F3" s="30"/>
      <c r="G3" s="31" t="s">
        <v>62</v>
      </c>
      <c r="H3" s="30"/>
      <c r="I3" s="30"/>
      <c r="J3" s="30"/>
      <c r="K3" s="1"/>
    </row>
    <row r="4" spans="2:11" ht="23.25" customHeight="1" thickBot="1" x14ac:dyDescent="0.25">
      <c r="B4" s="35" t="s">
        <v>67</v>
      </c>
      <c r="C4" s="18"/>
      <c r="D4" s="18"/>
      <c r="E4" s="18"/>
      <c r="F4" s="19"/>
      <c r="G4" s="35" t="s">
        <v>67</v>
      </c>
      <c r="H4" s="18"/>
      <c r="I4" s="18"/>
      <c r="J4" s="19"/>
      <c r="K4" s="1"/>
    </row>
    <row r="5" spans="2:11" ht="16.5" thickBot="1" x14ac:dyDescent="0.25">
      <c r="B5" s="8" t="s">
        <v>65</v>
      </c>
      <c r="C5" s="8" t="s">
        <v>64</v>
      </c>
      <c r="D5" s="8" t="s">
        <v>66</v>
      </c>
      <c r="E5" s="8" t="s">
        <v>72</v>
      </c>
      <c r="F5" s="8"/>
      <c r="G5" s="8" t="s">
        <v>65</v>
      </c>
      <c r="H5" s="8" t="s">
        <v>64</v>
      </c>
      <c r="I5" s="8" t="s">
        <v>66</v>
      </c>
      <c r="J5" s="8">
        <v>1435</v>
      </c>
      <c r="K5" s="1"/>
    </row>
    <row r="6" spans="2:11" ht="16.5" thickBot="1" x14ac:dyDescent="0.25">
      <c r="B6" s="2" t="s">
        <v>28</v>
      </c>
      <c r="C6" s="2" t="s">
        <v>0</v>
      </c>
      <c r="D6" s="4">
        <f>(0.74/1.95)</f>
        <v>0.37948717948717947</v>
      </c>
      <c r="E6" s="9">
        <f>(D6*J5)</f>
        <v>544.56410256410254</v>
      </c>
      <c r="F6" s="10"/>
      <c r="G6" s="2" t="s">
        <v>43</v>
      </c>
      <c r="H6" s="2" t="s">
        <v>0</v>
      </c>
      <c r="I6" s="2">
        <v>0.3</v>
      </c>
      <c r="J6" s="9">
        <f>(I6*J5)</f>
        <v>430.5</v>
      </c>
      <c r="K6" s="1"/>
    </row>
    <row r="7" spans="2:11" ht="16.5" thickBot="1" x14ac:dyDescent="0.25">
      <c r="B7" s="2" t="s">
        <v>29</v>
      </c>
      <c r="C7" s="2" t="s">
        <v>1</v>
      </c>
      <c r="D7" s="4">
        <f>(1/1.9)</f>
        <v>0.52631578947368418</v>
      </c>
      <c r="E7" s="9">
        <f>(D7*J5)</f>
        <v>755.26315789473676</v>
      </c>
      <c r="F7" s="10"/>
      <c r="G7" s="2" t="s">
        <v>44</v>
      </c>
      <c r="H7" s="2" t="s">
        <v>15</v>
      </c>
      <c r="I7" s="2">
        <v>0.5</v>
      </c>
      <c r="J7" s="9">
        <f>(I7*J5)</f>
        <v>717.5</v>
      </c>
      <c r="K7" s="1"/>
    </row>
    <row r="8" spans="2:11" ht="16.5" thickBot="1" x14ac:dyDescent="0.25">
      <c r="B8" s="2" t="s">
        <v>30</v>
      </c>
      <c r="C8" s="2" t="s">
        <v>2</v>
      </c>
      <c r="D8" s="4">
        <f>(1.54/1.99)</f>
        <v>0.77386934673366836</v>
      </c>
      <c r="E8" s="9">
        <f>(D8*J5)</f>
        <v>1110.502512562814</v>
      </c>
      <c r="F8" s="10"/>
      <c r="G8" s="2" t="s">
        <v>45</v>
      </c>
      <c r="H8" s="2" t="s">
        <v>19</v>
      </c>
      <c r="I8" s="2">
        <v>0.6</v>
      </c>
      <c r="J8" s="9">
        <f>(I8*J5)</f>
        <v>861</v>
      </c>
      <c r="K8" s="1"/>
    </row>
    <row r="9" spans="2:11" ht="16.5" thickBot="1" x14ac:dyDescent="0.25">
      <c r="B9" s="2" t="s">
        <v>31</v>
      </c>
      <c r="C9" s="2" t="s">
        <v>3</v>
      </c>
      <c r="D9" s="4">
        <f>(2.72/1.99)</f>
        <v>1.3668341708542715</v>
      </c>
      <c r="E9" s="9">
        <f>(D9*J5)</f>
        <v>1961.4070351758796</v>
      </c>
      <c r="F9" s="10"/>
      <c r="G9" s="2" t="s">
        <v>46</v>
      </c>
      <c r="H9" s="2" t="s">
        <v>17</v>
      </c>
      <c r="I9" s="2">
        <v>0.9</v>
      </c>
      <c r="J9" s="9">
        <f>(I9*J5)</f>
        <v>1291.5</v>
      </c>
      <c r="K9" s="1"/>
    </row>
    <row r="10" spans="2:11" ht="16.5" thickBot="1" x14ac:dyDescent="0.25">
      <c r="B10" s="2" t="s">
        <v>32</v>
      </c>
      <c r="C10" s="2" t="s">
        <v>4</v>
      </c>
      <c r="D10" s="4">
        <f>(4.2/1.99)</f>
        <v>2.1105527638190957</v>
      </c>
      <c r="E10" s="9">
        <f>(D10*J5)</f>
        <v>3028.6432160804025</v>
      </c>
      <c r="F10" s="10"/>
      <c r="G10" s="2" t="s">
        <v>47</v>
      </c>
      <c r="H10" s="2" t="s">
        <v>4</v>
      </c>
      <c r="I10" s="2">
        <v>1.2</v>
      </c>
      <c r="J10" s="9">
        <f>(I10*J5)</f>
        <v>1722</v>
      </c>
      <c r="K10" s="1"/>
    </row>
    <row r="11" spans="2:11" ht="16.5" thickBot="1" x14ac:dyDescent="0.25">
      <c r="B11" s="2" t="s">
        <v>33</v>
      </c>
      <c r="C11" s="2" t="s">
        <v>5</v>
      </c>
      <c r="D11" s="4">
        <f>(1.06/1.9)</f>
        <v>0.55789473684210533</v>
      </c>
      <c r="E11" s="9">
        <f>(D11*J5)</f>
        <v>800.57894736842115</v>
      </c>
      <c r="F11" s="10"/>
      <c r="G11" s="2" t="s">
        <v>48</v>
      </c>
      <c r="H11" s="2" t="s">
        <v>5</v>
      </c>
      <c r="I11" s="2">
        <v>0.5</v>
      </c>
      <c r="J11" s="9">
        <f>(I11*J5)</f>
        <v>717.5</v>
      </c>
      <c r="K11" s="1"/>
    </row>
    <row r="12" spans="2:11" ht="16.5" thickBot="1" x14ac:dyDescent="0.25">
      <c r="B12" s="2" t="s">
        <v>34</v>
      </c>
      <c r="C12" s="2" t="s">
        <v>6</v>
      </c>
      <c r="D12" s="4">
        <f>(1.44/1.95)</f>
        <v>0.7384615384615385</v>
      </c>
      <c r="E12" s="9">
        <f>(D12*J5)</f>
        <v>1059.6923076923078</v>
      </c>
      <c r="F12" s="10"/>
      <c r="G12" s="2" t="s">
        <v>49</v>
      </c>
      <c r="H12" s="2" t="s">
        <v>18</v>
      </c>
      <c r="I12" s="2">
        <v>0.7</v>
      </c>
      <c r="J12" s="9">
        <f>(I12*J5)</f>
        <v>1004.4999999999999</v>
      </c>
      <c r="K12" s="1"/>
    </row>
    <row r="13" spans="2:11" ht="16.5" thickBot="1" x14ac:dyDescent="0.25">
      <c r="B13" s="2" t="s">
        <v>35</v>
      </c>
      <c r="C13" s="2" t="s">
        <v>7</v>
      </c>
      <c r="D13" s="4">
        <f>(2.23/2.25)</f>
        <v>0.99111111111111105</v>
      </c>
      <c r="E13" s="9">
        <f>(D13*J5)</f>
        <v>1422.2444444444443</v>
      </c>
      <c r="F13" s="10"/>
      <c r="G13" s="2" t="s">
        <v>50</v>
      </c>
      <c r="H13" s="2" t="s">
        <v>7</v>
      </c>
      <c r="I13" s="2">
        <v>0.8</v>
      </c>
      <c r="J13" s="9">
        <f>(I13*J5)</f>
        <v>1148</v>
      </c>
      <c r="K13" s="1"/>
    </row>
    <row r="14" spans="2:11" ht="16.5" thickBot="1" x14ac:dyDescent="0.25">
      <c r="B14" s="2" t="s">
        <v>36</v>
      </c>
      <c r="C14" s="2" t="s">
        <v>8</v>
      </c>
      <c r="D14" s="4">
        <f>(3.48/2.03)</f>
        <v>1.7142857142857144</v>
      </c>
      <c r="E14" s="9">
        <f>(D14*J5)</f>
        <v>2460</v>
      </c>
      <c r="F14" s="10"/>
      <c r="G14" s="2" t="s">
        <v>51</v>
      </c>
      <c r="H14" s="2" t="s">
        <v>11</v>
      </c>
      <c r="I14" s="2">
        <v>0.8</v>
      </c>
      <c r="J14" s="9">
        <f>(I14*J5)</f>
        <v>1148</v>
      </c>
      <c r="K14" s="1"/>
    </row>
    <row r="15" spans="2:11" ht="16.5" thickBot="1" x14ac:dyDescent="0.25">
      <c r="B15" s="2" t="s">
        <v>37</v>
      </c>
      <c r="C15" s="2" t="s">
        <v>9</v>
      </c>
      <c r="D15" s="4">
        <f>(6.16/2.03)</f>
        <v>3.0344827586206899</v>
      </c>
      <c r="E15" s="9">
        <f>(D15*J5)</f>
        <v>4354.4827586206902</v>
      </c>
      <c r="F15" s="10"/>
      <c r="G15" s="2" t="s">
        <v>52</v>
      </c>
      <c r="H15" s="2" t="s">
        <v>13</v>
      </c>
      <c r="I15" s="2">
        <v>1.1000000000000001</v>
      </c>
      <c r="J15" s="9">
        <f>(I15*J5)</f>
        <v>1578.5000000000002</v>
      </c>
      <c r="K15" s="1"/>
    </row>
    <row r="16" spans="2:11" ht="16.5" thickBot="1" x14ac:dyDescent="0.25">
      <c r="B16" s="2" t="s">
        <v>38</v>
      </c>
      <c r="C16" s="2" t="s">
        <v>10</v>
      </c>
      <c r="D16" s="4">
        <f>(1.69/1.8)</f>
        <v>0.93888888888888888</v>
      </c>
      <c r="E16" s="9">
        <f>(D16*J5)</f>
        <v>1347.3055555555557</v>
      </c>
      <c r="F16" s="10"/>
      <c r="G16" s="2"/>
      <c r="H16" s="2"/>
      <c r="I16" s="2"/>
      <c r="J16" s="2"/>
      <c r="K16" s="1"/>
    </row>
    <row r="17" spans="2:11" ht="16.5" thickBot="1" x14ac:dyDescent="0.25">
      <c r="B17" s="2" t="s">
        <v>39</v>
      </c>
      <c r="C17" s="2" t="s">
        <v>70</v>
      </c>
      <c r="D17" s="4">
        <v>1.3</v>
      </c>
      <c r="E17" s="9">
        <f>(D17*J5)</f>
        <v>1865.5</v>
      </c>
      <c r="F17" s="10"/>
      <c r="G17" s="5"/>
      <c r="H17" s="6"/>
      <c r="I17" s="6"/>
      <c r="J17" s="7"/>
      <c r="K17" s="1"/>
    </row>
    <row r="18" spans="2:11" ht="16.5" thickBot="1" x14ac:dyDescent="0.25">
      <c r="B18" s="2" t="s">
        <v>40</v>
      </c>
      <c r="C18" s="2" t="s">
        <v>11</v>
      </c>
      <c r="D18" s="4">
        <f>(2.43/1.95)</f>
        <v>1.2461538461538462</v>
      </c>
      <c r="E18" s="9">
        <f>(D18*J5)</f>
        <v>1788.2307692307693</v>
      </c>
      <c r="F18" s="10"/>
      <c r="G18" s="32"/>
      <c r="H18" s="33"/>
      <c r="I18" s="33"/>
      <c r="J18" s="34"/>
      <c r="K18" s="1"/>
    </row>
    <row r="19" spans="2:11" ht="16.5" thickBot="1" x14ac:dyDescent="0.25">
      <c r="B19" s="2" t="s">
        <v>41</v>
      </c>
      <c r="C19" s="2" t="s">
        <v>13</v>
      </c>
      <c r="D19" s="4">
        <v>1.76</v>
      </c>
      <c r="E19" s="9">
        <f>(D19*J5)</f>
        <v>2525.6</v>
      </c>
      <c r="F19" s="10"/>
      <c r="G19" s="17" t="s">
        <v>71</v>
      </c>
      <c r="H19" s="18"/>
      <c r="I19" s="18"/>
      <c r="J19" s="19"/>
      <c r="K19" s="1"/>
    </row>
    <row r="20" spans="2:11" ht="16.5" thickBot="1" x14ac:dyDescent="0.25">
      <c r="B20" s="2" t="s">
        <v>42</v>
      </c>
      <c r="C20" s="2" t="s">
        <v>12</v>
      </c>
      <c r="D20" s="4">
        <v>1.66</v>
      </c>
      <c r="E20" s="9">
        <f>(D20*J5)</f>
        <v>2382.1</v>
      </c>
      <c r="F20" s="10"/>
      <c r="G20" s="2"/>
      <c r="H20" s="3"/>
      <c r="I20" s="2"/>
      <c r="J20" s="2"/>
      <c r="K20" s="1"/>
    </row>
    <row r="21" spans="2:11" ht="16.5" thickBot="1" x14ac:dyDescent="0.25">
      <c r="B21" s="2" t="s">
        <v>69</v>
      </c>
      <c r="C21" s="2" t="s">
        <v>14</v>
      </c>
      <c r="D21" s="4">
        <v>3.14</v>
      </c>
      <c r="E21" s="9">
        <f>(D21*J5)</f>
        <v>4505.9000000000005</v>
      </c>
      <c r="F21" s="10"/>
      <c r="G21" s="2" t="s">
        <v>58</v>
      </c>
      <c r="H21" s="2" t="s">
        <v>24</v>
      </c>
      <c r="I21" s="2">
        <v>0.12</v>
      </c>
      <c r="J21" s="9">
        <f>(I21*J5)</f>
        <v>172.2</v>
      </c>
      <c r="K21" s="1"/>
    </row>
    <row r="22" spans="2:11" ht="16.5" thickBot="1" x14ac:dyDescent="0.25">
      <c r="B22" s="2"/>
      <c r="C22" s="2"/>
      <c r="D22" s="4"/>
      <c r="E22" s="2"/>
      <c r="F22" s="10"/>
      <c r="G22" s="2" t="s">
        <v>59</v>
      </c>
      <c r="H22" s="2" t="s">
        <v>25</v>
      </c>
      <c r="I22" s="2">
        <v>0.17</v>
      </c>
      <c r="J22" s="9">
        <f>(I22*J5)</f>
        <v>243.95000000000002</v>
      </c>
      <c r="K22" s="1"/>
    </row>
    <row r="23" spans="2:11" ht="16.5" thickBot="1" x14ac:dyDescent="0.25">
      <c r="B23" s="14"/>
      <c r="C23" s="15"/>
      <c r="D23" s="15"/>
      <c r="E23" s="16"/>
      <c r="F23" s="10"/>
      <c r="G23" s="2" t="s">
        <v>60</v>
      </c>
      <c r="H23" s="2" t="s">
        <v>26</v>
      </c>
      <c r="I23" s="2">
        <v>0.25</v>
      </c>
      <c r="J23" s="9">
        <f>(I23*J5)</f>
        <v>358.75</v>
      </c>
      <c r="K23" s="1"/>
    </row>
    <row r="24" spans="2:11" ht="16.5" thickBot="1" x14ac:dyDescent="0.25">
      <c r="B24" s="17" t="s">
        <v>87</v>
      </c>
      <c r="C24" s="20"/>
      <c r="D24" s="20"/>
      <c r="E24" s="21"/>
      <c r="F24" s="10"/>
      <c r="G24" s="2" t="s">
        <v>61</v>
      </c>
      <c r="H24" s="2" t="s">
        <v>27</v>
      </c>
      <c r="I24" s="2">
        <v>0.34</v>
      </c>
      <c r="J24" s="9">
        <f>(I24*J5)</f>
        <v>487.90000000000003</v>
      </c>
      <c r="K24" s="1"/>
    </row>
    <row r="25" spans="2:11" ht="16.5" thickBot="1" x14ac:dyDescent="0.25">
      <c r="B25" s="2"/>
      <c r="C25" s="3"/>
      <c r="D25" s="4"/>
      <c r="E25" s="2"/>
      <c r="F25" s="10"/>
      <c r="G25" s="2"/>
      <c r="H25" s="3"/>
      <c r="I25" s="3"/>
      <c r="J25" s="2"/>
      <c r="K25" s="1"/>
    </row>
    <row r="26" spans="2:11" ht="16.5" thickBot="1" x14ac:dyDescent="0.25">
      <c r="B26" s="2" t="s">
        <v>53</v>
      </c>
      <c r="C26" s="2" t="s">
        <v>20</v>
      </c>
      <c r="D26" s="4">
        <v>0.25</v>
      </c>
      <c r="E26" s="9">
        <f>(D26*J5)</f>
        <v>358.75</v>
      </c>
      <c r="F26" s="10"/>
      <c r="G26" s="17" t="s">
        <v>96</v>
      </c>
      <c r="H26" s="22"/>
      <c r="I26" s="22"/>
      <c r="J26" s="23"/>
      <c r="K26" s="1"/>
    </row>
    <row r="27" spans="2:11" ht="16.5" thickBot="1" x14ac:dyDescent="0.25">
      <c r="B27" s="2" t="s">
        <v>54</v>
      </c>
      <c r="C27" s="2" t="s">
        <v>73</v>
      </c>
      <c r="D27" s="4">
        <v>0.37</v>
      </c>
      <c r="E27" s="9">
        <f>(D27*J5)</f>
        <v>530.95000000000005</v>
      </c>
      <c r="F27" s="10"/>
      <c r="G27" s="2"/>
      <c r="H27" s="3"/>
      <c r="I27" s="3"/>
      <c r="J27" s="2"/>
      <c r="K27" s="1"/>
    </row>
    <row r="28" spans="2:11" ht="19.5" thickBot="1" x14ac:dyDescent="0.3">
      <c r="B28" s="2" t="s">
        <v>55</v>
      </c>
      <c r="C28" s="2" t="s">
        <v>21</v>
      </c>
      <c r="D28" s="4">
        <v>0.74</v>
      </c>
      <c r="E28" s="9">
        <f>(D28*J5)</f>
        <v>1061.9000000000001</v>
      </c>
      <c r="F28" s="10"/>
      <c r="G28" s="2" t="s">
        <v>90</v>
      </c>
      <c r="H28" s="13" t="s">
        <v>88</v>
      </c>
      <c r="I28" s="12">
        <v>0.6</v>
      </c>
      <c r="J28" s="9">
        <f>(I28*J5)</f>
        <v>861</v>
      </c>
      <c r="K28" s="1"/>
    </row>
    <row r="29" spans="2:11" ht="16.5" thickBot="1" x14ac:dyDescent="0.25">
      <c r="B29" s="2" t="s">
        <v>56</v>
      </c>
      <c r="C29" s="2" t="s">
        <v>22</v>
      </c>
      <c r="D29" s="4">
        <v>1.1499999999999999</v>
      </c>
      <c r="E29" s="9">
        <f>(D29*J5)</f>
        <v>1650.2499999999998</v>
      </c>
      <c r="F29" s="10"/>
      <c r="G29" s="2" t="s">
        <v>91</v>
      </c>
      <c r="H29" s="2" t="s">
        <v>16</v>
      </c>
      <c r="I29" s="2">
        <v>0.9</v>
      </c>
      <c r="J29" s="9">
        <f>(I29*J5)</f>
        <v>1291.5</v>
      </c>
      <c r="K29" s="1"/>
    </row>
    <row r="30" spans="2:11" ht="16.5" thickBot="1" x14ac:dyDescent="0.25">
      <c r="B30" s="2" t="s">
        <v>57</v>
      </c>
      <c r="C30" s="2" t="s">
        <v>23</v>
      </c>
      <c r="D30" s="4">
        <v>1.76</v>
      </c>
      <c r="E30" s="9">
        <f>(D30*J5)</f>
        <v>2525.6</v>
      </c>
      <c r="F30" s="10"/>
      <c r="G30" s="2" t="s">
        <v>92</v>
      </c>
      <c r="H30" s="2" t="s">
        <v>3</v>
      </c>
      <c r="I30" s="2">
        <v>1.3</v>
      </c>
      <c r="J30" s="9">
        <f>(I30*J5)</f>
        <v>1865.5</v>
      </c>
      <c r="K30" s="1"/>
    </row>
    <row r="31" spans="2:11" ht="16.5" thickBot="1" x14ac:dyDescent="0.25">
      <c r="B31" s="2"/>
      <c r="C31" s="2"/>
      <c r="D31" s="2"/>
      <c r="E31" s="2"/>
      <c r="F31" s="10"/>
      <c r="G31" s="2" t="s">
        <v>93</v>
      </c>
      <c r="H31" s="2" t="s">
        <v>4</v>
      </c>
      <c r="I31" s="2">
        <v>1.6</v>
      </c>
      <c r="J31" s="9">
        <f>(I31*J5)</f>
        <v>2296</v>
      </c>
      <c r="K31" s="1"/>
    </row>
    <row r="32" spans="2:11" ht="16.5" thickBot="1" x14ac:dyDescent="0.25">
      <c r="B32" s="17" t="s">
        <v>86</v>
      </c>
      <c r="C32" s="18"/>
      <c r="D32" s="18"/>
      <c r="E32" s="19"/>
      <c r="F32" s="10"/>
      <c r="G32" s="2" t="s">
        <v>94</v>
      </c>
      <c r="H32" s="2" t="s">
        <v>89</v>
      </c>
      <c r="I32" s="2">
        <v>1.1000000000000001</v>
      </c>
      <c r="J32" s="9">
        <f>(I32*J5)</f>
        <v>1578.5000000000002</v>
      </c>
      <c r="K32" s="1"/>
    </row>
    <row r="33" spans="2:11" ht="19.5" thickBot="1" x14ac:dyDescent="0.3">
      <c r="B33" s="2"/>
      <c r="C33" s="2"/>
      <c r="D33" s="2"/>
      <c r="E33" s="2"/>
      <c r="F33" s="10"/>
      <c r="G33" s="2" t="s">
        <v>95</v>
      </c>
      <c r="H33" s="12" t="s">
        <v>76</v>
      </c>
      <c r="I33" s="2">
        <v>1.6</v>
      </c>
      <c r="J33" s="9">
        <f>(I33*J5)</f>
        <v>2296</v>
      </c>
      <c r="K33" s="1"/>
    </row>
    <row r="34" spans="2:11" ht="16.5" thickBot="1" x14ac:dyDescent="0.25">
      <c r="B34" s="2" t="s">
        <v>79</v>
      </c>
      <c r="C34" s="2" t="s">
        <v>15</v>
      </c>
      <c r="D34" s="2">
        <v>1.02</v>
      </c>
      <c r="E34" s="9">
        <f>(D34*J5)</f>
        <v>1463.7</v>
      </c>
      <c r="F34" s="10"/>
      <c r="G34" s="2"/>
      <c r="I34" s="2"/>
      <c r="J34" s="2"/>
      <c r="K34" s="1"/>
    </row>
    <row r="35" spans="2:11" ht="16.5" thickBot="1" x14ac:dyDescent="0.25">
      <c r="B35" s="2" t="s">
        <v>80</v>
      </c>
      <c r="C35" s="2" t="s">
        <v>74</v>
      </c>
      <c r="D35" s="2">
        <v>1.33</v>
      </c>
      <c r="E35" s="9">
        <f>(D35*J5)</f>
        <v>1908.5500000000002</v>
      </c>
      <c r="F35" s="10"/>
      <c r="G35" s="17" t="s">
        <v>100</v>
      </c>
      <c r="H35" s="24"/>
      <c r="I35" s="24"/>
      <c r="J35" s="25"/>
      <c r="K35" s="1"/>
    </row>
    <row r="36" spans="2:11" ht="16.5" thickBot="1" x14ac:dyDescent="0.25">
      <c r="B36" s="2" t="s">
        <v>81</v>
      </c>
      <c r="C36" s="2" t="s">
        <v>17</v>
      </c>
      <c r="D36" s="2">
        <v>2.2999999999999998</v>
      </c>
      <c r="E36" s="9">
        <f>(D36*J5)</f>
        <v>3300.4999999999995</v>
      </c>
      <c r="F36" s="10"/>
      <c r="G36" s="2"/>
      <c r="H36" s="2"/>
      <c r="I36" s="2"/>
      <c r="J36" s="2"/>
      <c r="K36" s="1"/>
    </row>
    <row r="37" spans="2:11" ht="16.5" thickBot="1" x14ac:dyDescent="0.25">
      <c r="B37" s="2" t="s">
        <v>82</v>
      </c>
      <c r="C37" s="2" t="s">
        <v>75</v>
      </c>
      <c r="D37" s="2">
        <v>3.37</v>
      </c>
      <c r="E37" s="9">
        <f>(D37*J5)</f>
        <v>4835.95</v>
      </c>
      <c r="F37" s="10"/>
      <c r="G37" s="2"/>
      <c r="H37" s="2" t="s">
        <v>97</v>
      </c>
      <c r="I37" s="2">
        <v>0.14000000000000001</v>
      </c>
      <c r="J37" s="9">
        <f>(I37*J5)</f>
        <v>200.9</v>
      </c>
      <c r="K37" s="1"/>
    </row>
    <row r="38" spans="2:11" ht="16.5" thickBot="1" x14ac:dyDescent="0.25">
      <c r="B38" s="2" t="s">
        <v>83</v>
      </c>
      <c r="C38" s="2" t="s">
        <v>76</v>
      </c>
      <c r="D38" s="2">
        <v>2.0499999999999998</v>
      </c>
      <c r="E38" s="9">
        <f>(D38*J5)</f>
        <v>2941.7499999999995</v>
      </c>
      <c r="F38" s="10"/>
      <c r="G38" s="2"/>
      <c r="H38" s="2" t="s">
        <v>98</v>
      </c>
      <c r="I38" s="2">
        <v>0.23</v>
      </c>
      <c r="J38" s="9">
        <f>(I38*J5)</f>
        <v>330.05</v>
      </c>
      <c r="K38" s="1"/>
    </row>
    <row r="39" spans="2:11" ht="16.5" thickBot="1" x14ac:dyDescent="0.25">
      <c r="B39" s="2" t="s">
        <v>84</v>
      </c>
      <c r="C39" s="2" t="s">
        <v>77</v>
      </c>
      <c r="D39" s="2">
        <v>2.84</v>
      </c>
      <c r="E39" s="9">
        <f>(D39*J5)</f>
        <v>4075.3999999999996</v>
      </c>
      <c r="F39" s="10"/>
      <c r="G39" s="2"/>
      <c r="H39" s="2" t="s">
        <v>99</v>
      </c>
      <c r="I39" s="2">
        <v>0.28000000000000003</v>
      </c>
      <c r="J39" s="9">
        <f>(I39*J5)</f>
        <v>401.8</v>
      </c>
      <c r="K39" s="1"/>
    </row>
    <row r="40" spans="2:11" ht="16.5" thickBot="1" x14ac:dyDescent="0.25">
      <c r="B40" s="2" t="s">
        <v>85</v>
      </c>
      <c r="C40" s="2" t="s">
        <v>78</v>
      </c>
      <c r="D40" s="2">
        <v>4.68</v>
      </c>
      <c r="E40" s="9">
        <f>(D40*J5)</f>
        <v>6715.7999999999993</v>
      </c>
      <c r="F40" s="10"/>
      <c r="G40" s="2"/>
      <c r="H40" s="2" t="s">
        <v>15</v>
      </c>
      <c r="I40" s="2">
        <v>0.34</v>
      </c>
      <c r="J40" s="9">
        <f>(I40*J5)</f>
        <v>487.90000000000003</v>
      </c>
    </row>
    <row r="41" spans="2:11" ht="19.5" thickBot="1" x14ac:dyDescent="0.3">
      <c r="B41" s="3"/>
      <c r="C41" s="3"/>
      <c r="D41" s="3"/>
      <c r="E41" s="3"/>
      <c r="F41" s="11"/>
      <c r="G41" s="3"/>
      <c r="H41" s="12" t="s">
        <v>74</v>
      </c>
      <c r="I41" s="12">
        <v>0.46</v>
      </c>
      <c r="J41" s="9">
        <f>(I41*J5)</f>
        <v>660.1</v>
      </c>
    </row>
    <row r="42" spans="2:11" ht="15.75" thickBot="1" x14ac:dyDescent="0.25">
      <c r="B42" s="3"/>
      <c r="C42" s="3"/>
      <c r="D42" s="3"/>
      <c r="E42" s="3"/>
      <c r="F42" s="11"/>
      <c r="G42" s="3"/>
      <c r="H42" s="3"/>
      <c r="I42" s="3"/>
      <c r="J42" s="3"/>
    </row>
  </sheetData>
  <mergeCells count="12">
    <mergeCell ref="G35:J35"/>
    <mergeCell ref="B2:J2"/>
    <mergeCell ref="B3:F3"/>
    <mergeCell ref="G3:J3"/>
    <mergeCell ref="G18:J18"/>
    <mergeCell ref="B4:F4"/>
    <mergeCell ref="G4:J4"/>
    <mergeCell ref="B23:E23"/>
    <mergeCell ref="G19:J19"/>
    <mergeCell ref="B24:E24"/>
    <mergeCell ref="B32:E32"/>
    <mergeCell ref="G26:J2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Graciela alejandra fernandez</dc:creator>
  <cp:lastModifiedBy>Graciela alejandra fernandez</cp:lastModifiedBy>
  <dcterms:created xsi:type="dcterms:W3CDTF">2026-02-28T22:07:15Z</dcterms:created>
  <dcterms:modified xsi:type="dcterms:W3CDTF">2026-03-01T03:04:19Z</dcterms:modified>
</cp:coreProperties>
</file>