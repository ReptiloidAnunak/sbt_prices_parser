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80A4822-F9D1-E74C-AFDB-8E87250E3C1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Hoja1" sheetId="1" r:id="rId1"/>
    <sheet name="Sheet1" sheetId="2" r:id="rId2"/>
    <sheet name="Hoja2" sheetId="3" r:id="rId3"/>
    <sheet name="Hoja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45" i="1"/>
  <c r="G45" i="1"/>
  <c r="F44" i="1"/>
  <c r="G44" i="1"/>
  <c r="F52" i="1"/>
  <c r="G52" i="1"/>
  <c r="F51" i="1"/>
  <c r="G51" i="1"/>
  <c r="F50" i="1"/>
  <c r="G50" i="1"/>
  <c r="F49" i="1"/>
  <c r="G49" i="1"/>
  <c r="F40" i="1"/>
  <c r="G40" i="1"/>
  <c r="F39" i="1"/>
  <c r="G39" i="1"/>
  <c r="E4" i="1"/>
  <c r="F48" i="1"/>
  <c r="G48" i="1"/>
  <c r="F47" i="1"/>
  <c r="G47" i="1"/>
  <c r="E43" i="1"/>
  <c r="F43" i="1"/>
  <c r="G43" i="1"/>
  <c r="E42" i="1"/>
  <c r="F42" i="1"/>
  <c r="G42" i="1"/>
  <c r="E41" i="1"/>
  <c r="F41" i="1"/>
  <c r="G41" i="1"/>
  <c r="E38" i="1"/>
  <c r="F38" i="1"/>
  <c r="G38" i="1"/>
  <c r="E37" i="1"/>
  <c r="F37" i="1"/>
  <c r="G37" i="1"/>
  <c r="E36" i="1"/>
  <c r="F36" i="1"/>
  <c r="G36" i="1"/>
  <c r="E35" i="1"/>
  <c r="F35" i="1"/>
  <c r="G35" i="1"/>
  <c r="E34" i="1"/>
  <c r="F34" i="1"/>
  <c r="G34" i="1"/>
  <c r="E33" i="1"/>
  <c r="F33" i="1"/>
  <c r="G33" i="1"/>
  <c r="E32" i="1"/>
  <c r="F32" i="1"/>
  <c r="G32" i="1"/>
  <c r="E31" i="1"/>
  <c r="F31" i="1"/>
  <c r="G31" i="1"/>
  <c r="E30" i="1"/>
  <c r="F30" i="1"/>
  <c r="G30" i="1"/>
  <c r="E29" i="1"/>
  <c r="F29" i="1"/>
  <c r="G29" i="1"/>
  <c r="E28" i="1"/>
  <c r="F28" i="1"/>
  <c r="G28" i="1"/>
  <c r="E27" i="1"/>
  <c r="F27" i="1"/>
  <c r="G27" i="1"/>
  <c r="E26" i="1"/>
  <c r="F26" i="1"/>
  <c r="G26" i="1"/>
  <c r="E25" i="1"/>
  <c r="F25" i="1"/>
  <c r="G25" i="1"/>
  <c r="E24" i="1"/>
  <c r="F24" i="1"/>
  <c r="G24" i="1"/>
  <c r="E23" i="1"/>
  <c r="F23" i="1"/>
  <c r="G23" i="1"/>
  <c r="E22" i="1"/>
  <c r="F22" i="1"/>
  <c r="G22" i="1"/>
  <c r="E21" i="1"/>
  <c r="F21" i="1"/>
  <c r="G21" i="1"/>
  <c r="E20" i="1"/>
  <c r="F20" i="1"/>
  <c r="G20" i="1"/>
  <c r="E19" i="1"/>
  <c r="F19" i="1"/>
  <c r="G19" i="1"/>
  <c r="E18" i="1"/>
  <c r="F18" i="1"/>
  <c r="G18" i="1"/>
  <c r="E17" i="1"/>
  <c r="F17" i="1"/>
  <c r="G17" i="1"/>
  <c r="E16" i="1"/>
  <c r="F16" i="1"/>
  <c r="G16" i="1"/>
  <c r="E15" i="1"/>
  <c r="F15" i="1"/>
  <c r="G15" i="1"/>
  <c r="E14" i="1"/>
  <c r="F14" i="1"/>
  <c r="G14" i="1"/>
  <c r="E13" i="1"/>
  <c r="F13" i="1"/>
  <c r="G13" i="1"/>
  <c r="E12" i="1"/>
  <c r="F12" i="1"/>
  <c r="G12" i="1"/>
  <c r="E11" i="1"/>
  <c r="F11" i="1"/>
  <c r="G11" i="1"/>
  <c r="E10" i="1"/>
  <c r="F10" i="1"/>
  <c r="G10" i="1"/>
  <c r="E9" i="1"/>
  <c r="F9" i="1"/>
  <c r="G9" i="1"/>
  <c r="E8" i="1"/>
  <c r="F8" i="1"/>
  <c r="G8" i="1"/>
  <c r="E7" i="1"/>
  <c r="F7" i="1"/>
  <c r="G7" i="1"/>
  <c r="E6" i="1"/>
  <c r="F6" i="1"/>
  <c r="G6" i="1"/>
  <c r="F5" i="1"/>
  <c r="G5" i="1"/>
  <c r="F4" i="1"/>
  <c r="G4" i="1"/>
  <c r="F46" i="1"/>
  <c r="G46" i="1"/>
</calcChain>
</file>

<file path=xl/sharedStrings.xml><?xml version="1.0" encoding="utf-8"?>
<sst xmlns="http://schemas.openxmlformats.org/spreadsheetml/2006/main" count="106" uniqueCount="104">
  <si>
    <t xml:space="preserve"> BRONCE REFRIGERACION </t>
  </si>
  <si>
    <t>DISTRIBUIDOR</t>
  </si>
  <si>
    <t>10% OFF</t>
  </si>
  <si>
    <t>$</t>
  </si>
  <si>
    <t>N1001</t>
  </si>
  <si>
    <t>Niple M/8mm</t>
  </si>
  <si>
    <t>T1001</t>
  </si>
  <si>
    <t>Tuerca 1/4</t>
  </si>
  <si>
    <t>T1002</t>
  </si>
  <si>
    <t>Tuerca 3/8</t>
  </si>
  <si>
    <t>T1003</t>
  </si>
  <si>
    <t>Tuerca 1/2</t>
  </si>
  <si>
    <t>T1004</t>
  </si>
  <si>
    <t>Tuerca 5/8</t>
  </si>
  <si>
    <t>T1005</t>
  </si>
  <si>
    <t>Tuerca 3/4</t>
  </si>
  <si>
    <t>T1006</t>
  </si>
  <si>
    <t>Tapon 1/4 H</t>
  </si>
  <si>
    <t>T1007</t>
  </si>
  <si>
    <t>Tapon 3/8 H</t>
  </si>
  <si>
    <t>T1008</t>
  </si>
  <si>
    <t>Tapon 1/2 H</t>
  </si>
  <si>
    <t>T1009</t>
  </si>
  <si>
    <t>Tapon 1/4 M</t>
  </si>
  <si>
    <t>T1010</t>
  </si>
  <si>
    <t>Tapon 3/8 M</t>
  </si>
  <si>
    <t>T1011</t>
  </si>
  <si>
    <t>Tapon 1/2 M</t>
  </si>
  <si>
    <t>T1012</t>
  </si>
  <si>
    <t>Tapon 1/4  3/8 "R"</t>
  </si>
  <si>
    <t>T1014</t>
  </si>
  <si>
    <t>Tapon 1/2 "R"</t>
  </si>
  <si>
    <t>T1015</t>
  </si>
  <si>
    <t>Tapon 5/8 "R"</t>
  </si>
  <si>
    <t>T1016</t>
  </si>
  <si>
    <t>Tapon 3/4 "R"</t>
  </si>
  <si>
    <t>T1017</t>
  </si>
  <si>
    <t>Tuerca 3/8 Hexag 19</t>
  </si>
  <si>
    <t>T1018</t>
  </si>
  <si>
    <t>Tuerca 1/2 Hexag 22</t>
  </si>
  <si>
    <t>T1019</t>
  </si>
  <si>
    <t>Tuerca 5/16</t>
  </si>
  <si>
    <t>T1020</t>
  </si>
  <si>
    <t>Tuerca red 5/8 a 1/2</t>
  </si>
  <si>
    <t>T1021</t>
  </si>
  <si>
    <t>Tuerca red 1/2 a 3/8</t>
  </si>
  <si>
    <t>T1022</t>
  </si>
  <si>
    <t>Tuerca red 3/8 a 1/4</t>
  </si>
  <si>
    <t>B1001</t>
  </si>
  <si>
    <t>Buje Red 3/8-1/4</t>
  </si>
  <si>
    <t>B1002</t>
  </si>
  <si>
    <t>Buje Red 1/2-3/8</t>
  </si>
  <si>
    <t>B1003</t>
  </si>
  <si>
    <t>Buje Red 5/8-1/2</t>
  </si>
  <si>
    <t>U1001</t>
  </si>
  <si>
    <t>Union doble 1/4</t>
  </si>
  <si>
    <t>U1002</t>
  </si>
  <si>
    <t>Union doble 3/8</t>
  </si>
  <si>
    <t>U1003</t>
  </si>
  <si>
    <t>Union doble 1/2</t>
  </si>
  <si>
    <t>U1004</t>
  </si>
  <si>
    <t>Union doble 5/8</t>
  </si>
  <si>
    <t>U1005</t>
  </si>
  <si>
    <t>Union doble 3/4</t>
  </si>
  <si>
    <t>U1006</t>
  </si>
  <si>
    <t>Union doble 5/16</t>
  </si>
  <si>
    <t>R1001</t>
  </si>
  <si>
    <t>Red 1/2 a 3/8</t>
  </si>
  <si>
    <t>R1002</t>
  </si>
  <si>
    <t>Red 5/8 a 1/2</t>
  </si>
  <si>
    <t>R1003</t>
  </si>
  <si>
    <t>Red 3/8 a 1/4</t>
  </si>
  <si>
    <t>R1004</t>
  </si>
  <si>
    <t>Red 5/16 a 1/4</t>
  </si>
  <si>
    <t>R1005</t>
  </si>
  <si>
    <t>Red 1/4 FM a 1/8 GH</t>
  </si>
  <si>
    <t>R1006</t>
  </si>
  <si>
    <t>Red 1/4 FM a 5/16 H</t>
  </si>
  <si>
    <t>P1001</t>
  </si>
  <si>
    <t>Puntera p/Soldar1/4</t>
  </si>
  <si>
    <t>P1002</t>
  </si>
  <si>
    <t>Puntera p/Soldar3/8</t>
  </si>
  <si>
    <t>P1003</t>
  </si>
  <si>
    <t>Puntera p/Soldar1/2</t>
  </si>
  <si>
    <t>P1004</t>
  </si>
  <si>
    <t>Puntera p/Soldar5/8</t>
  </si>
  <si>
    <t>P1005</t>
  </si>
  <si>
    <t>Puntera p/Soldar3/4</t>
  </si>
  <si>
    <t>V0001</t>
  </si>
  <si>
    <t>Valvula c/grifo</t>
  </si>
  <si>
    <t>V0002</t>
  </si>
  <si>
    <t>Adap. 410 c/ovulo</t>
  </si>
  <si>
    <t>V0003</t>
  </si>
  <si>
    <t>Valvula carga descartable c/ovulo</t>
  </si>
  <si>
    <t>Pch1001</t>
  </si>
  <si>
    <t>Puntera c/ Chicote p/Soldar 1/4</t>
  </si>
  <si>
    <t>Pch1002</t>
  </si>
  <si>
    <t>Puntera c/ Chicote p/Soldar 3/8</t>
  </si>
  <si>
    <t>Pch1003</t>
  </si>
  <si>
    <t>Puntera c/ Chicote p/Soldar 1/2</t>
  </si>
  <si>
    <t>Pch1004</t>
  </si>
  <si>
    <t>Puntera c/ Chicote p/Soldar 5/8</t>
  </si>
  <si>
    <r>
      <rPr>
        <sz val="13"/>
        <color rgb="FF000000"/>
        <rFont val="Calibri"/>
      </rPr>
      <t xml:space="preserve">          </t>
    </r>
    <r>
      <rPr>
        <b/>
        <sz val="13"/>
        <color rgb="FF000000"/>
        <rFont val="Candara"/>
      </rPr>
      <t xml:space="preserve"> Estos precios son + IVA</t>
    </r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</si>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</sst>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b/>
      <i/>
      <sz val="12"/>
      <color rgb="FF000000"/>
      <name val="Calibri"/>
    </font>
    <font>
      <b/>
      <i/>
      <sz val="12"/>
      <color rgb="FFFFFF00"/>
      <name val="Calibri"/>
    </font>
    <font>
      <sz val="13"/>
      <color theme="1"/>
      <name val="Calibri"/>
    </font>
    <font>
      <b/>
      <sz val="13"/>
      <color rgb="FF000000"/>
      <name val="Calibri"/>
    </font>
    <font>
      <b/>
      <i/>
      <sz val="14"/>
      <color rgb="FF000000"/>
      <name val="Calibri"/>
    </font>
    <font>
      <b/>
      <sz val="16"/>
      <color theme="1"/>
      <name val="Calibri"/>
      <scheme val="minor"/>
    </font>
    <font>
      <sz val="13"/>
      <color rgb="FF000000"/>
      <name val="Calibri"/>
    </font>
    <font>
      <b/>
      <sz val="14"/>
      <color theme="1"/>
      <name val="Calibri"/>
      <scheme val="minor"/>
    </font>
    <font>
      <b/>
      <sz val="15"/>
      <color theme="1"/>
      <name val="Calibri"/>
      <scheme val="minor"/>
    </font>
    <font>
      <sz val="11"/>
      <color rgb="FF000000"/>
      <name val="Calibri"/>
    </font>
    <font>
      <b/>
      <sz val="13"/>
      <color rgb="FF000000"/>
      <name val="Candara"/>
    </font>
    <font>
      <b/>
      <sz val="19"/>
      <color theme="1"/>
      <name val="Calibri"/>
      <scheme val="minor"/>
    </font>
    <font>
      <b/>
      <u/>
      <sz val="20"/>
      <color theme="1"/>
      <name val="Candara"/>
    </font>
    <font>
      <u/>
      <sz val="20"/>
      <name val="Candara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2" fontId="5" fillId="0" borderId="0" xfId="0" applyNumberFormat="1" applyFont="1"/>
    <xf numFmtId="0" fontId="6" fillId="2" borderId="5" xfId="0" applyFont="1" applyFill="1" applyBorder="1" applyAlignment="1">
      <alignment horizontal="center"/>
    </xf>
    <xf numFmtId="1" fontId="7" fillId="2" borderId="6" xfId="0" applyNumberFormat="1" applyFont="1" applyFill="1" applyBorder="1" applyAlignment="1">
      <alignment horizontal="center" vertical="center"/>
    </xf>
    <xf numFmtId="0" fontId="9" fillId="0" borderId="5" xfId="0" applyFont="1" applyBorder="1"/>
    <xf numFmtId="164" fontId="7" fillId="2" borderId="6" xfId="0" applyNumberFormat="1" applyFont="1" applyFill="1" applyBorder="1" applyAlignment="1">
      <alignment horizontal="center" vertical="center"/>
    </xf>
    <xf numFmtId="1" fontId="11" fillId="2" borderId="3" xfId="0" applyNumberFormat="1" applyFont="1" applyFill="1" applyBorder="1"/>
    <xf numFmtId="0" fontId="6" fillId="0" borderId="5" xfId="0" applyFont="1" applyBorder="1"/>
    <xf numFmtId="0" fontId="9" fillId="0" borderId="5" xfId="0" applyFont="1" applyBorder="1" applyAlignment="1">
      <alignment vertical="center"/>
    </xf>
    <xf numFmtId="1" fontId="7" fillId="2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" fontId="4" fillId="2" borderId="4" xfId="0" applyNumberFormat="1" applyFont="1" applyFill="1" applyBorder="1" applyAlignment="1">
      <alignment horizontal="center" vertical="center"/>
    </xf>
    <xf numFmtId="1" fontId="10" fillId="2" borderId="3" xfId="0" applyNumberFormat="1" applyFont="1" applyFill="1" applyBorder="1"/>
    <xf numFmtId="1" fontId="0" fillId="0" borderId="0" xfId="0" applyNumberFormat="1"/>
    <xf numFmtId="1" fontId="7" fillId="2" borderId="5" xfId="0" applyNumberFormat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/>
    </xf>
    <xf numFmtId="1" fontId="10" fillId="2" borderId="5" xfId="0" applyNumberFormat="1" applyFont="1" applyFill="1" applyBorder="1"/>
    <xf numFmtId="0" fontId="9" fillId="0" borderId="7" xfId="0" applyFont="1" applyBorder="1" applyAlignment="1">
      <alignment vertical="center"/>
    </xf>
    <xf numFmtId="164" fontId="7" fillId="2" borderId="8" xfId="0" applyNumberFormat="1" applyFont="1" applyFill="1" applyBorder="1" applyAlignment="1">
      <alignment horizontal="center" vertical="center"/>
    </xf>
    <xf numFmtId="1" fontId="10" fillId="2" borderId="4" xfId="0" applyNumberFormat="1" applyFont="1" applyFill="1" applyBorder="1"/>
    <xf numFmtId="1" fontId="7" fillId="2" borderId="1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14" fillId="2" borderId="3" xfId="0" applyFont="1" applyFill="1" applyBorder="1"/>
    <xf numFmtId="1" fontId="1" fillId="2" borderId="5" xfId="0" applyNumberFormat="1" applyFont="1" applyFill="1" applyBorder="1"/>
    <xf numFmtId="0" fontId="1" fillId="2" borderId="5" xfId="0" applyFont="1" applyFill="1" applyBorder="1"/>
    <xf numFmtId="0" fontId="17" fillId="2" borderId="3" xfId="0" applyFont="1" applyFill="1" applyBorder="1" applyAlignment="1">
      <alignment horizontal="center"/>
    </xf>
    <xf numFmtId="1" fontId="8" fillId="2" borderId="3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6" fillId="0" borderId="2" xfId="0" applyFont="1" applyBorder="1"/>
    <xf numFmtId="0" fontId="9" fillId="2" borderId="9" xfId="0" applyFont="1" applyFill="1" applyBorder="1" applyAlignment="1">
      <alignment horizontal="center" vertical="center"/>
    </xf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1003"/>
  <sheetViews>
    <sheetView tabSelected="1" workbookViewId="0">
      <selection activeCell="J6" sqref="J6"/>
    </sheetView>
  </sheetViews>
  <sheetFormatPr defaultColWidth="14.390625" defaultRowHeight="15" customHeight="1" x14ac:dyDescent="0.2"/>
  <cols>
    <col min="1" max="1" width="8.7421875" hidden="1" customWidth="1"/>
    <col min="2" max="2" width="9.953125" customWidth="1"/>
    <col min="3" max="3" width="40.22265625" customWidth="1"/>
    <col min="4" max="4" width="9.55078125" hidden="1" customWidth="1"/>
    <col min="5" max="5" width="15.46875" customWidth="1"/>
    <col min="6" max="6" width="9.68359375" style="14" customWidth="1"/>
  </cols>
  <sheetData>
    <row r="2" spans="1:7" ht="31.5" customHeight="1" x14ac:dyDescent="0.35">
      <c r="A2" s="29" t="s">
        <v>0</v>
      </c>
      <c r="B2" s="30"/>
      <c r="C2" s="30"/>
      <c r="D2" s="1" t="s">
        <v>1</v>
      </c>
      <c r="E2" s="1" t="s">
        <v>1</v>
      </c>
      <c r="F2" s="12">
        <v>1577</v>
      </c>
      <c r="G2" s="24" t="s">
        <v>2</v>
      </c>
    </row>
    <row r="3" spans="1:7" ht="21.75" customHeight="1" x14ac:dyDescent="0.3">
      <c r="A3" s="2"/>
      <c r="B3" s="3"/>
      <c r="C3" s="3"/>
      <c r="D3" s="10" t="s">
        <v>3</v>
      </c>
      <c r="E3" s="4" t="s">
        <v>103</v>
      </c>
      <c r="F3" s="28">
        <v>1425</v>
      </c>
      <c r="G3" s="27" t="s">
        <v>3</v>
      </c>
    </row>
    <row r="4" spans="1:7" ht="19.5" x14ac:dyDescent="0.25">
      <c r="A4" s="2">
        <v>0.55000000000000004</v>
      </c>
      <c r="B4" s="5" t="s">
        <v>4</v>
      </c>
      <c r="C4" s="5" t="s">
        <v>5</v>
      </c>
      <c r="D4" s="10">
        <v>985</v>
      </c>
      <c r="E4" s="6">
        <f>(D4/F2)</f>
        <v>0.62460367786937221</v>
      </c>
      <c r="F4" s="13">
        <f>(E4*F3)</f>
        <v>890.06024096385545</v>
      </c>
      <c r="G4" s="7">
        <f>(F4*-10)/100+F4</f>
        <v>801.0542168674699</v>
      </c>
    </row>
    <row r="5" spans="1:7" ht="19.5" x14ac:dyDescent="0.25">
      <c r="A5" s="2">
        <v>0.4</v>
      </c>
      <c r="B5" s="5" t="s">
        <v>6</v>
      </c>
      <c r="C5" s="8" t="s">
        <v>7</v>
      </c>
      <c r="D5" s="10">
        <v>716</v>
      </c>
      <c r="E5" s="6">
        <f>(D5/F2)</f>
        <v>0.4540266328471782</v>
      </c>
      <c r="F5" s="13">
        <f>(E5*F3)</f>
        <v>646.98795180722891</v>
      </c>
      <c r="G5" s="7">
        <f t="shared" ref="G5:G52" si="0">(F5*-10)/100+F5</f>
        <v>582.28915662650604</v>
      </c>
    </row>
    <row r="6" spans="1:7" ht="19.5" x14ac:dyDescent="0.25">
      <c r="A6" s="2">
        <v>0.71</v>
      </c>
      <c r="B6" s="5" t="s">
        <v>8</v>
      </c>
      <c r="C6" s="8" t="s">
        <v>9</v>
      </c>
      <c r="D6" s="10">
        <v>1271</v>
      </c>
      <c r="E6" s="6">
        <f>(D6/F2)</f>
        <v>0.80596068484464167</v>
      </c>
      <c r="F6" s="13">
        <f>(E6*F3)</f>
        <v>1148.4939759036145</v>
      </c>
      <c r="G6" s="7">
        <f t="shared" si="0"/>
        <v>1033.6445783132531</v>
      </c>
    </row>
    <row r="7" spans="1:7" ht="19.5" x14ac:dyDescent="0.25">
      <c r="A7" s="2">
        <v>0.99</v>
      </c>
      <c r="B7" s="5" t="s">
        <v>10</v>
      </c>
      <c r="C7" s="8" t="s">
        <v>11</v>
      </c>
      <c r="D7" s="10">
        <v>1773</v>
      </c>
      <c r="E7" s="6">
        <f>(D7/F2)</f>
        <v>1.12428662016487</v>
      </c>
      <c r="F7" s="13">
        <f>(E7*F3)</f>
        <v>1602.1084337349398</v>
      </c>
      <c r="G7" s="7">
        <f t="shared" si="0"/>
        <v>1441.8975903614457</v>
      </c>
    </row>
    <row r="8" spans="1:7" ht="19.5" x14ac:dyDescent="0.25">
      <c r="A8" s="2">
        <v>1.76</v>
      </c>
      <c r="B8" s="5" t="s">
        <v>12</v>
      </c>
      <c r="C8" s="8" t="s">
        <v>13</v>
      </c>
      <c r="D8" s="10">
        <v>3152</v>
      </c>
      <c r="E8" s="6">
        <f>(D8/F2)</f>
        <v>1.998731769181991</v>
      </c>
      <c r="F8" s="13">
        <f>(E8*F3)</f>
        <v>2848.1927710843374</v>
      </c>
      <c r="G8" s="7">
        <f t="shared" si="0"/>
        <v>2563.3734939759038</v>
      </c>
    </row>
    <row r="9" spans="1:7" ht="19.5" x14ac:dyDescent="0.25">
      <c r="A9" s="2">
        <v>2.4700000000000002</v>
      </c>
      <c r="B9" s="5" t="s">
        <v>14</v>
      </c>
      <c r="C9" s="8" t="s">
        <v>15</v>
      </c>
      <c r="D9" s="10">
        <v>4423</v>
      </c>
      <c r="E9" s="6">
        <f>(D9/F2)</f>
        <v>2.8046924540266329</v>
      </c>
      <c r="F9" s="13">
        <f>(E9*F3)</f>
        <v>3996.6867469879521</v>
      </c>
      <c r="G9" s="7">
        <f t="shared" si="0"/>
        <v>3597.0180722891569</v>
      </c>
    </row>
    <row r="10" spans="1:7" ht="19.5" x14ac:dyDescent="0.25">
      <c r="A10" s="2">
        <v>0.42</v>
      </c>
      <c r="B10" s="5" t="s">
        <v>16</v>
      </c>
      <c r="C10" s="5" t="s">
        <v>17</v>
      </c>
      <c r="D10" s="10">
        <v>752</v>
      </c>
      <c r="E10" s="6">
        <f>(D10/F2)</f>
        <v>0.47685478757133798</v>
      </c>
      <c r="F10" s="13">
        <f>(E10*F3)</f>
        <v>679.51807228915663</v>
      </c>
      <c r="G10" s="7">
        <f t="shared" si="0"/>
        <v>611.56626506024099</v>
      </c>
    </row>
    <row r="11" spans="1:7" ht="19.5" x14ac:dyDescent="0.25">
      <c r="A11" s="2">
        <v>0.66</v>
      </c>
      <c r="B11" s="5" t="s">
        <v>18</v>
      </c>
      <c r="C11" s="5" t="s">
        <v>19</v>
      </c>
      <c r="D11" s="10">
        <v>1182</v>
      </c>
      <c r="E11" s="6">
        <f>(D11/F2)</f>
        <v>0.74952441344324672</v>
      </c>
      <c r="F11" s="13">
        <f>(E11*F3)</f>
        <v>1068.0722891566265</v>
      </c>
      <c r="G11" s="7">
        <f t="shared" si="0"/>
        <v>961.26506024096386</v>
      </c>
    </row>
    <row r="12" spans="1:7" ht="19.5" x14ac:dyDescent="0.25">
      <c r="A12" s="2">
        <v>0.89</v>
      </c>
      <c r="B12" s="5" t="s">
        <v>20</v>
      </c>
      <c r="C12" s="5" t="s">
        <v>21</v>
      </c>
      <c r="D12" s="10">
        <v>1594</v>
      </c>
      <c r="E12" s="6">
        <f>(D12/F2)</f>
        <v>1.0107799619530755</v>
      </c>
      <c r="F12" s="13">
        <f>(E12*F3)</f>
        <v>1440.3614457831327</v>
      </c>
      <c r="G12" s="7">
        <f t="shared" si="0"/>
        <v>1296.3253012048194</v>
      </c>
    </row>
    <row r="13" spans="1:7" ht="19.5" x14ac:dyDescent="0.25">
      <c r="A13" s="2">
        <v>0.39</v>
      </c>
      <c r="B13" s="5" t="s">
        <v>22</v>
      </c>
      <c r="C13" s="5" t="s">
        <v>23</v>
      </c>
      <c r="D13" s="10">
        <v>698</v>
      </c>
      <c r="E13" s="6">
        <f>(D13/F2)</f>
        <v>0.44261255548509831</v>
      </c>
      <c r="F13" s="13">
        <f>(E13*F3)</f>
        <v>630.72289156626505</v>
      </c>
      <c r="G13" s="7">
        <f t="shared" si="0"/>
        <v>567.65060240963851</v>
      </c>
    </row>
    <row r="14" spans="1:7" ht="19.5" x14ac:dyDescent="0.25">
      <c r="A14" s="2">
        <v>0.65</v>
      </c>
      <c r="B14" s="5" t="s">
        <v>24</v>
      </c>
      <c r="C14" s="5" t="s">
        <v>25</v>
      </c>
      <c r="D14" s="10">
        <v>1164</v>
      </c>
      <c r="E14" s="6">
        <f>(D14/F2)</f>
        <v>0.73811033608116672</v>
      </c>
      <c r="F14" s="13">
        <f>(E14*F3)</f>
        <v>1051.8072289156626</v>
      </c>
      <c r="G14" s="7">
        <f t="shared" si="0"/>
        <v>946.62650602409633</v>
      </c>
    </row>
    <row r="15" spans="1:7" ht="19.5" x14ac:dyDescent="0.25">
      <c r="A15" s="2">
        <v>0.96</v>
      </c>
      <c r="B15" s="5" t="s">
        <v>26</v>
      </c>
      <c r="C15" s="5" t="s">
        <v>27</v>
      </c>
      <c r="D15" s="10">
        <v>1719</v>
      </c>
      <c r="E15" s="6">
        <f>(D15/F2)</f>
        <v>1.0900443880786304</v>
      </c>
      <c r="F15" s="13">
        <f>(E15*F3)</f>
        <v>1553.3132530120483</v>
      </c>
      <c r="G15" s="7">
        <f t="shared" si="0"/>
        <v>1397.9819277108436</v>
      </c>
    </row>
    <row r="16" spans="1:7" ht="19.5" x14ac:dyDescent="0.25">
      <c r="A16" s="2">
        <v>0.75</v>
      </c>
      <c r="B16" s="5" t="s">
        <v>28</v>
      </c>
      <c r="C16" s="5" t="s">
        <v>29</v>
      </c>
      <c r="D16" s="10">
        <v>1343</v>
      </c>
      <c r="E16" s="6">
        <f>(D16/F2)</f>
        <v>0.85161699429296134</v>
      </c>
      <c r="F16" s="13">
        <f>(E16*F3)</f>
        <v>1213.5542168674699</v>
      </c>
      <c r="G16" s="7">
        <f t="shared" si="0"/>
        <v>1092.198795180723</v>
      </c>
    </row>
    <row r="17" spans="1:7" ht="19.5" x14ac:dyDescent="0.25">
      <c r="A17" s="2">
        <v>0.88</v>
      </c>
      <c r="B17" s="9" t="s">
        <v>30</v>
      </c>
      <c r="C17" s="9" t="s">
        <v>31</v>
      </c>
      <c r="D17" s="10">
        <v>1576</v>
      </c>
      <c r="E17" s="6">
        <f>(D17/F2)</f>
        <v>0.99936588459099551</v>
      </c>
      <c r="F17" s="13">
        <f>(E17*F3)</f>
        <v>1424.0963855421687</v>
      </c>
      <c r="G17" s="7">
        <f t="shared" si="0"/>
        <v>1281.6867469879519</v>
      </c>
    </row>
    <row r="18" spans="1:7" ht="19.5" x14ac:dyDescent="0.25">
      <c r="A18" s="2">
        <v>1.01</v>
      </c>
      <c r="B18" s="9" t="s">
        <v>32</v>
      </c>
      <c r="C18" s="9" t="s">
        <v>33</v>
      </c>
      <c r="D18" s="10">
        <v>1809</v>
      </c>
      <c r="E18" s="6">
        <f>(D18/F2)</f>
        <v>1.1471147748890298</v>
      </c>
      <c r="F18" s="13">
        <f>(E18*F3)</f>
        <v>1634.6385542168675</v>
      </c>
      <c r="G18" s="7">
        <f t="shared" si="0"/>
        <v>1471.1746987951808</v>
      </c>
    </row>
    <row r="19" spans="1:7" ht="19.5" x14ac:dyDescent="0.25">
      <c r="A19" s="2">
        <v>1.1599999999999999</v>
      </c>
      <c r="B19" s="9" t="s">
        <v>34</v>
      </c>
      <c r="C19" s="9" t="s">
        <v>35</v>
      </c>
      <c r="D19" s="10">
        <v>2077</v>
      </c>
      <c r="E19" s="6">
        <f>(D19/F2)</f>
        <v>1.3170577045022194</v>
      </c>
      <c r="F19" s="13">
        <f>(E19*F3)</f>
        <v>1876.8072289156626</v>
      </c>
      <c r="G19" s="7">
        <f t="shared" si="0"/>
        <v>1689.1265060240962</v>
      </c>
    </row>
    <row r="20" spans="1:7" ht="19.5" x14ac:dyDescent="0.25">
      <c r="A20" s="2">
        <v>0.62</v>
      </c>
      <c r="B20" s="9" t="s">
        <v>36</v>
      </c>
      <c r="C20" s="9" t="s">
        <v>37</v>
      </c>
      <c r="D20" s="10">
        <v>1110</v>
      </c>
      <c r="E20" s="6">
        <f>(D20/F2)</f>
        <v>0.70386810399492705</v>
      </c>
      <c r="F20" s="13">
        <f>(E20*F3)</f>
        <v>1003.0120481927711</v>
      </c>
      <c r="G20" s="7">
        <f t="shared" si="0"/>
        <v>902.71084337349396</v>
      </c>
    </row>
    <row r="21" spans="1:7" ht="19.5" x14ac:dyDescent="0.25">
      <c r="A21" s="2">
        <v>0.9</v>
      </c>
      <c r="B21" s="9" t="s">
        <v>38</v>
      </c>
      <c r="C21" s="9" t="s">
        <v>39</v>
      </c>
      <c r="D21" s="10">
        <v>1612</v>
      </c>
      <c r="E21" s="6">
        <f>(D21/F2)</f>
        <v>1.0221940393151554</v>
      </c>
      <c r="F21" s="13">
        <f>(E21*F3)</f>
        <v>1456.6265060240964</v>
      </c>
      <c r="G21" s="7">
        <f t="shared" si="0"/>
        <v>1310.9638554216867</v>
      </c>
    </row>
    <row r="22" spans="1:7" ht="15.75" customHeight="1" x14ac:dyDescent="0.25">
      <c r="A22" s="2">
        <v>0.57999999999999996</v>
      </c>
      <c r="B22" s="9" t="s">
        <v>40</v>
      </c>
      <c r="C22" s="9" t="s">
        <v>41</v>
      </c>
      <c r="D22" s="10">
        <v>1039</v>
      </c>
      <c r="E22" s="6">
        <f>(D22/F2)</f>
        <v>0.65884590995561187</v>
      </c>
      <c r="F22" s="13">
        <f>(E22*F3)</f>
        <v>938.85542168674692</v>
      </c>
      <c r="G22" s="7">
        <f t="shared" si="0"/>
        <v>844.96987951807228</v>
      </c>
    </row>
    <row r="23" spans="1:7" ht="15.75" customHeight="1" x14ac:dyDescent="0.25">
      <c r="A23" s="2">
        <v>1.84</v>
      </c>
      <c r="B23" s="9" t="s">
        <v>42</v>
      </c>
      <c r="C23" s="9" t="s">
        <v>43</v>
      </c>
      <c r="D23" s="10">
        <v>3295</v>
      </c>
      <c r="E23" s="6">
        <f>(D23/F2)</f>
        <v>2.089410272669626</v>
      </c>
      <c r="F23" s="13">
        <f>(E23*F3)</f>
        <v>2977.4096385542171</v>
      </c>
      <c r="G23" s="7">
        <f t="shared" si="0"/>
        <v>2679.6686746987953</v>
      </c>
    </row>
    <row r="24" spans="1:7" ht="15.75" customHeight="1" x14ac:dyDescent="0.25">
      <c r="A24" s="2">
        <v>1.26</v>
      </c>
      <c r="B24" s="9" t="s">
        <v>44</v>
      </c>
      <c r="C24" s="9" t="s">
        <v>45</v>
      </c>
      <c r="D24" s="10">
        <v>2256</v>
      </c>
      <c r="E24" s="6">
        <f>(D24/F2)</f>
        <v>1.4305643627140139</v>
      </c>
      <c r="F24" s="13">
        <f>(E24*F3)</f>
        <v>2038.5542168674697</v>
      </c>
      <c r="G24" s="7">
        <f t="shared" si="0"/>
        <v>1834.6987951807228</v>
      </c>
    </row>
    <row r="25" spans="1:7" ht="15.75" customHeight="1" x14ac:dyDescent="0.25">
      <c r="A25" s="2">
        <v>0.88</v>
      </c>
      <c r="B25" s="9" t="s">
        <v>46</v>
      </c>
      <c r="C25" s="9" t="s">
        <v>47</v>
      </c>
      <c r="D25" s="10">
        <v>1576</v>
      </c>
      <c r="E25" s="6">
        <f>(D25/F2)</f>
        <v>0.99936588459099551</v>
      </c>
      <c r="F25" s="13">
        <f>(E25*F3)</f>
        <v>1424.0963855421687</v>
      </c>
      <c r="G25" s="7">
        <f t="shared" si="0"/>
        <v>1281.6867469879519</v>
      </c>
    </row>
    <row r="26" spans="1:7" ht="15.75" customHeight="1" x14ac:dyDescent="0.25">
      <c r="A26" s="2">
        <v>0.34</v>
      </c>
      <c r="B26" s="9" t="s">
        <v>48</v>
      </c>
      <c r="C26" s="9" t="s">
        <v>49</v>
      </c>
      <c r="D26" s="10">
        <v>609</v>
      </c>
      <c r="E26" s="6">
        <f>(D26/F2)</f>
        <v>0.38617628408370325</v>
      </c>
      <c r="F26" s="13">
        <f>(E26*F3)</f>
        <v>550.30120481927713</v>
      </c>
      <c r="G26" s="7">
        <f t="shared" si="0"/>
        <v>495.27108433734941</v>
      </c>
    </row>
    <row r="27" spans="1:7" ht="15.75" customHeight="1" x14ac:dyDescent="0.25">
      <c r="A27" s="2">
        <v>0.4</v>
      </c>
      <c r="B27" s="9" t="s">
        <v>50</v>
      </c>
      <c r="C27" s="9" t="s">
        <v>51</v>
      </c>
      <c r="D27" s="10">
        <v>716</v>
      </c>
      <c r="E27" s="6">
        <f>(D27/F2)</f>
        <v>0.4540266328471782</v>
      </c>
      <c r="F27" s="13">
        <f>(E27*F3)</f>
        <v>646.98795180722891</v>
      </c>
      <c r="G27" s="7">
        <f t="shared" si="0"/>
        <v>582.28915662650604</v>
      </c>
    </row>
    <row r="28" spans="1:7" ht="15.75" customHeight="1" x14ac:dyDescent="0.25">
      <c r="A28" s="2">
        <v>0.5</v>
      </c>
      <c r="B28" s="9" t="s">
        <v>52</v>
      </c>
      <c r="C28" s="9" t="s">
        <v>53</v>
      </c>
      <c r="D28" s="10">
        <v>895</v>
      </c>
      <c r="E28" s="6">
        <f>(D28/F2)</f>
        <v>0.56753329105897277</v>
      </c>
      <c r="F28" s="13">
        <f>(E28*F3)</f>
        <v>808.73493975903614</v>
      </c>
      <c r="G28" s="7">
        <f t="shared" si="0"/>
        <v>727.86144578313247</v>
      </c>
    </row>
    <row r="29" spans="1:7" ht="15.75" customHeight="1" x14ac:dyDescent="0.25">
      <c r="A29" s="2">
        <v>0.56000000000000005</v>
      </c>
      <c r="B29" s="9" t="s">
        <v>54</v>
      </c>
      <c r="C29" s="9" t="s">
        <v>55</v>
      </c>
      <c r="D29" s="10">
        <v>1003</v>
      </c>
      <c r="E29" s="6">
        <f>(D29/F2)</f>
        <v>0.6360177552314521</v>
      </c>
      <c r="F29" s="13">
        <f>(E29*F3)</f>
        <v>906.3253012048192</v>
      </c>
      <c r="G29" s="7">
        <f t="shared" si="0"/>
        <v>815.69277108433732</v>
      </c>
    </row>
    <row r="30" spans="1:7" ht="15.75" customHeight="1" x14ac:dyDescent="0.25">
      <c r="A30" s="2">
        <v>1.28</v>
      </c>
      <c r="B30" s="9" t="s">
        <v>56</v>
      </c>
      <c r="C30" s="9" t="s">
        <v>57</v>
      </c>
      <c r="D30" s="10">
        <v>2292</v>
      </c>
      <c r="E30" s="6">
        <f>(D30/F2)</f>
        <v>1.4533925174381737</v>
      </c>
      <c r="F30" s="13">
        <f>(E30*F3)</f>
        <v>2071.0843373493976</v>
      </c>
      <c r="G30" s="7">
        <f t="shared" si="0"/>
        <v>1863.9759036144578</v>
      </c>
    </row>
    <row r="31" spans="1:7" ht="15.75" customHeight="1" x14ac:dyDescent="0.25">
      <c r="A31" s="2">
        <v>1.86</v>
      </c>
      <c r="B31" s="9" t="s">
        <v>58</v>
      </c>
      <c r="C31" s="9" t="s">
        <v>59</v>
      </c>
      <c r="D31" s="10">
        <v>3331</v>
      </c>
      <c r="E31" s="6">
        <f>(D31/F2)</f>
        <v>2.1122384273937858</v>
      </c>
      <c r="F31" s="13">
        <f>(E31*F3)</f>
        <v>3009.9397590361446</v>
      </c>
      <c r="G31" s="7">
        <f t="shared" si="0"/>
        <v>2708.9457831325299</v>
      </c>
    </row>
    <row r="32" spans="1:7" ht="15.75" customHeight="1" x14ac:dyDescent="0.25">
      <c r="A32" s="2">
        <v>2.6</v>
      </c>
      <c r="B32" s="9" t="s">
        <v>60</v>
      </c>
      <c r="C32" s="9" t="s">
        <v>61</v>
      </c>
      <c r="D32" s="10">
        <v>4656</v>
      </c>
      <c r="E32" s="6">
        <f>(D32/F2)</f>
        <v>2.9524413443246669</v>
      </c>
      <c r="F32" s="13">
        <f>(E32*F3)</f>
        <v>4207.2289156626503</v>
      </c>
      <c r="G32" s="7">
        <f t="shared" si="0"/>
        <v>3786.5060240963853</v>
      </c>
    </row>
    <row r="33" spans="1:7" ht="15.75" customHeight="1" x14ac:dyDescent="0.25">
      <c r="A33" s="2">
        <v>4.22</v>
      </c>
      <c r="B33" s="9" t="s">
        <v>62</v>
      </c>
      <c r="C33" s="9" t="s">
        <v>63</v>
      </c>
      <c r="D33" s="10">
        <v>7557</v>
      </c>
      <c r="E33" s="6">
        <f>(D33/F2)</f>
        <v>4.7920101458465441</v>
      </c>
      <c r="F33" s="13">
        <f>(E33*F3)</f>
        <v>6828.6144578313251</v>
      </c>
      <c r="G33" s="7">
        <f t="shared" si="0"/>
        <v>6145.7530120481924</v>
      </c>
    </row>
    <row r="34" spans="1:7" ht="15.75" customHeight="1" x14ac:dyDescent="0.25">
      <c r="A34" s="2">
        <v>0.95</v>
      </c>
      <c r="B34" s="9" t="s">
        <v>64</v>
      </c>
      <c r="C34" s="9" t="s">
        <v>65</v>
      </c>
      <c r="D34" s="10">
        <v>1701</v>
      </c>
      <c r="E34" s="6">
        <f>(D34/F2)</f>
        <v>1.0786303107165505</v>
      </c>
      <c r="F34" s="13">
        <f>(E34*F3)</f>
        <v>1537.0481927710844</v>
      </c>
      <c r="G34" s="7">
        <f t="shared" si="0"/>
        <v>1383.3433734939758</v>
      </c>
    </row>
    <row r="35" spans="1:7" ht="15.75" customHeight="1" x14ac:dyDescent="0.25">
      <c r="A35" s="2">
        <v>1.75</v>
      </c>
      <c r="B35" s="9" t="s">
        <v>66</v>
      </c>
      <c r="C35" s="9" t="s">
        <v>67</v>
      </c>
      <c r="D35" s="10">
        <v>3134</v>
      </c>
      <c r="E35" s="6">
        <f>(D35/F2)</f>
        <v>1.9873176918199111</v>
      </c>
      <c r="F35" s="13">
        <f>(E35*F3)</f>
        <v>2831.9277108433735</v>
      </c>
      <c r="G35" s="7">
        <f t="shared" si="0"/>
        <v>2548.734939759036</v>
      </c>
    </row>
    <row r="36" spans="1:7" ht="15.75" customHeight="1" x14ac:dyDescent="0.25">
      <c r="A36" s="2">
        <v>2.4500000000000002</v>
      </c>
      <c r="B36" s="9" t="s">
        <v>68</v>
      </c>
      <c r="C36" s="9" t="s">
        <v>69</v>
      </c>
      <c r="D36" s="10">
        <v>4387</v>
      </c>
      <c r="E36" s="6">
        <f>(D36/F2)</f>
        <v>2.7818642993024731</v>
      </c>
      <c r="F36" s="13">
        <f>(E36*F3)</f>
        <v>3964.1566265060242</v>
      </c>
      <c r="G36" s="7">
        <f t="shared" si="0"/>
        <v>3567.7409638554218</v>
      </c>
    </row>
    <row r="37" spans="1:7" ht="15.75" customHeight="1" x14ac:dyDescent="0.25">
      <c r="A37" s="2">
        <v>1.45</v>
      </c>
      <c r="B37" s="9" t="s">
        <v>70</v>
      </c>
      <c r="C37" s="9" t="s">
        <v>71</v>
      </c>
      <c r="D37" s="10">
        <v>2597</v>
      </c>
      <c r="E37" s="6">
        <f>(D37/F2)</f>
        <v>1.6467977171845276</v>
      </c>
      <c r="F37" s="13">
        <f>(E37*F3)</f>
        <v>2346.6867469879517</v>
      </c>
      <c r="G37" s="7">
        <f t="shared" si="0"/>
        <v>2112.0180722891564</v>
      </c>
    </row>
    <row r="38" spans="1:7" ht="15.75" customHeight="1" x14ac:dyDescent="0.25">
      <c r="A38" s="2">
        <v>1.1299999999999999</v>
      </c>
      <c r="B38" s="9" t="s">
        <v>72</v>
      </c>
      <c r="C38" s="9" t="s">
        <v>73</v>
      </c>
      <c r="D38" s="10">
        <v>2024</v>
      </c>
      <c r="E38" s="6">
        <f>(D38/F2)</f>
        <v>1.2834495878249841</v>
      </c>
      <c r="F38" s="13">
        <f>(E38*F3)</f>
        <v>1828.9156626506024</v>
      </c>
      <c r="G38" s="7">
        <f t="shared" si="0"/>
        <v>1646.0240963855422</v>
      </c>
    </row>
    <row r="39" spans="1:7" ht="15.75" customHeight="1" x14ac:dyDescent="0.25">
      <c r="A39" s="2">
        <v>0.53</v>
      </c>
      <c r="B39" s="9" t="s">
        <v>74</v>
      </c>
      <c r="C39" s="9" t="s">
        <v>75</v>
      </c>
      <c r="D39" s="10"/>
      <c r="E39" s="6">
        <v>0.8</v>
      </c>
      <c r="F39" s="13">
        <f>(E39*F3)</f>
        <v>1140</v>
      </c>
      <c r="G39" s="7">
        <f t="shared" si="0"/>
        <v>1026</v>
      </c>
    </row>
    <row r="40" spans="1:7" ht="15.75" customHeight="1" x14ac:dyDescent="0.25">
      <c r="A40" s="2">
        <v>1.25</v>
      </c>
      <c r="B40" s="9" t="s">
        <v>76</v>
      </c>
      <c r="C40" s="9" t="s">
        <v>77</v>
      </c>
      <c r="D40" s="10"/>
      <c r="E40" s="6">
        <v>0.92</v>
      </c>
      <c r="F40" s="13">
        <f>(E40*F3)</f>
        <v>1311</v>
      </c>
      <c r="G40" s="7">
        <f t="shared" si="0"/>
        <v>1179.9000000000001</v>
      </c>
    </row>
    <row r="41" spans="1:7" ht="15.75" customHeight="1" x14ac:dyDescent="0.25">
      <c r="A41" s="2">
        <v>1.82</v>
      </c>
      <c r="B41" s="9" t="s">
        <v>78</v>
      </c>
      <c r="C41" s="9" t="s">
        <v>79</v>
      </c>
      <c r="D41" s="10">
        <v>949</v>
      </c>
      <c r="E41" s="6">
        <f>(D41/F2)</f>
        <v>0.60177552314521243</v>
      </c>
      <c r="F41" s="13">
        <f>(E41*F3)</f>
        <v>857.53012048192772</v>
      </c>
      <c r="G41" s="7">
        <f t="shared" si="0"/>
        <v>771.77710843373495</v>
      </c>
    </row>
    <row r="42" spans="1:7" ht="15.75" customHeight="1" x14ac:dyDescent="0.25">
      <c r="A42" s="2"/>
      <c r="B42" s="9" t="s">
        <v>80</v>
      </c>
      <c r="C42" s="9" t="s">
        <v>81</v>
      </c>
      <c r="D42" s="10">
        <v>2238</v>
      </c>
      <c r="E42" s="6">
        <f>(D42/F2)</f>
        <v>1.419150285351934</v>
      </c>
      <c r="F42" s="13">
        <f>(E42*F3)</f>
        <v>2022.2891566265059</v>
      </c>
      <c r="G42" s="7">
        <f t="shared" si="0"/>
        <v>1820.0602409638554</v>
      </c>
    </row>
    <row r="43" spans="1:7" ht="15.75" customHeight="1" x14ac:dyDescent="0.25">
      <c r="A43" s="2"/>
      <c r="B43" s="9" t="s">
        <v>82</v>
      </c>
      <c r="C43" s="9" t="s">
        <v>83</v>
      </c>
      <c r="D43" s="10">
        <v>3259</v>
      </c>
      <c r="E43" s="6">
        <f>(D43/F2)</f>
        <v>2.0665821179454662</v>
      </c>
      <c r="F43" s="13">
        <f>(E43*F3)</f>
        <v>2944.8795180722896</v>
      </c>
      <c r="G43" s="7">
        <f t="shared" si="0"/>
        <v>2650.3915662650606</v>
      </c>
    </row>
    <row r="44" spans="1:7" ht="15.75" customHeight="1" x14ac:dyDescent="0.25">
      <c r="A44" s="2"/>
      <c r="B44" s="9" t="s">
        <v>84</v>
      </c>
      <c r="C44" s="9" t="s">
        <v>85</v>
      </c>
      <c r="D44" s="10"/>
      <c r="E44" s="6">
        <v>3.55</v>
      </c>
      <c r="F44" s="13">
        <f>(E44*F3)</f>
        <v>5058.75</v>
      </c>
      <c r="G44" s="7">
        <f t="shared" si="0"/>
        <v>4552.875</v>
      </c>
    </row>
    <row r="45" spans="1:7" ht="15.75" customHeight="1" x14ac:dyDescent="0.25">
      <c r="A45" s="2"/>
      <c r="B45" s="9" t="s">
        <v>86</v>
      </c>
      <c r="C45" s="9" t="s">
        <v>87</v>
      </c>
      <c r="D45" s="10"/>
      <c r="E45" s="6">
        <v>5.51</v>
      </c>
      <c r="F45" s="13">
        <f>(E45*F3)</f>
        <v>7851.75</v>
      </c>
      <c r="G45" s="7">
        <f t="shared" si="0"/>
        <v>7066.5749999999998</v>
      </c>
    </row>
    <row r="46" spans="1:7" ht="15.75" customHeight="1" x14ac:dyDescent="0.25">
      <c r="A46" s="2"/>
      <c r="B46" s="9" t="s">
        <v>88</v>
      </c>
      <c r="C46" s="9" t="s">
        <v>89</v>
      </c>
      <c r="D46" s="10">
        <v>6250</v>
      </c>
      <c r="E46" s="6">
        <v>5.45</v>
      </c>
      <c r="F46" s="13">
        <f>(E46*F3)</f>
        <v>7766.25</v>
      </c>
      <c r="G46" s="7">
        <f t="shared" si="0"/>
        <v>6989.625</v>
      </c>
    </row>
    <row r="47" spans="1:7" ht="15.75" customHeight="1" x14ac:dyDescent="0.25">
      <c r="A47" s="2"/>
      <c r="B47" s="9" t="s">
        <v>90</v>
      </c>
      <c r="C47" s="9" t="s">
        <v>91</v>
      </c>
      <c r="D47" s="10">
        <v>3370</v>
      </c>
      <c r="E47" s="19">
        <v>3</v>
      </c>
      <c r="F47" s="20">
        <f>(E47*F3)</f>
        <v>4275</v>
      </c>
      <c r="G47" s="7">
        <f t="shared" si="0"/>
        <v>3847.5</v>
      </c>
    </row>
    <row r="48" spans="1:7" ht="15.75" customHeight="1" x14ac:dyDescent="0.25">
      <c r="B48" s="18" t="s">
        <v>92</v>
      </c>
      <c r="C48" s="18" t="s">
        <v>93</v>
      </c>
      <c r="D48" s="22">
        <v>3250</v>
      </c>
      <c r="E48" s="16">
        <v>2.9</v>
      </c>
      <c r="F48" s="17">
        <f>(E48*F3)</f>
        <v>4132.5</v>
      </c>
      <c r="G48" s="7">
        <f t="shared" si="0"/>
        <v>3719.25</v>
      </c>
    </row>
    <row r="49" spans="2:7" ht="15.75" customHeight="1" x14ac:dyDescent="0.25">
      <c r="B49" s="9" t="s">
        <v>94</v>
      </c>
      <c r="C49" s="9" t="s">
        <v>95</v>
      </c>
      <c r="D49" s="23"/>
      <c r="E49" s="16">
        <v>1.52</v>
      </c>
      <c r="F49" s="17">
        <f>(E49*F3)</f>
        <v>2166</v>
      </c>
      <c r="G49" s="7">
        <f t="shared" si="0"/>
        <v>1949.4</v>
      </c>
    </row>
    <row r="50" spans="2:7" ht="15.75" customHeight="1" x14ac:dyDescent="0.25">
      <c r="B50" s="9" t="s">
        <v>96</v>
      </c>
      <c r="C50" s="9" t="s">
        <v>97</v>
      </c>
      <c r="D50" s="23"/>
      <c r="E50" s="16">
        <v>2.9</v>
      </c>
      <c r="F50" s="17">
        <f>(E50*F3)</f>
        <v>4132.5</v>
      </c>
      <c r="G50" s="7">
        <f t="shared" si="0"/>
        <v>3719.25</v>
      </c>
    </row>
    <row r="51" spans="2:7" ht="15.75" customHeight="1" x14ac:dyDescent="0.25">
      <c r="B51" s="9" t="s">
        <v>98</v>
      </c>
      <c r="C51" s="9" t="s">
        <v>99</v>
      </c>
      <c r="D51" s="23"/>
      <c r="E51" s="16">
        <v>4</v>
      </c>
      <c r="F51" s="17">
        <f>(E51*F3)</f>
        <v>5700</v>
      </c>
      <c r="G51" s="7">
        <f t="shared" si="0"/>
        <v>5130</v>
      </c>
    </row>
    <row r="52" spans="2:7" ht="15.75" customHeight="1" x14ac:dyDescent="0.25">
      <c r="B52" s="9" t="s">
        <v>100</v>
      </c>
      <c r="C52" s="9" t="s">
        <v>101</v>
      </c>
      <c r="D52" s="23"/>
      <c r="E52" s="16">
        <v>6.99</v>
      </c>
      <c r="F52" s="17">
        <f>(E52*F3)</f>
        <v>9960.75</v>
      </c>
      <c r="G52" s="7">
        <f t="shared" si="0"/>
        <v>8964.6749999999993</v>
      </c>
    </row>
    <row r="53" spans="2:7" ht="15.75" customHeight="1" x14ac:dyDescent="0.2">
      <c r="B53" s="31" t="s">
        <v>102</v>
      </c>
      <c r="C53" s="32"/>
      <c r="D53" s="21"/>
      <c r="E53" s="15"/>
      <c r="F53" s="25"/>
      <c r="G53" s="26"/>
    </row>
    <row r="54" spans="2:7" ht="15.75" customHeight="1" x14ac:dyDescent="0.2">
      <c r="D54" s="11"/>
    </row>
    <row r="55" spans="2:7" ht="15.75" customHeight="1" x14ac:dyDescent="0.2">
      <c r="D55" s="11"/>
    </row>
    <row r="56" spans="2:7" ht="15.75" customHeight="1" x14ac:dyDescent="0.2">
      <c r="D56" s="11"/>
    </row>
    <row r="57" spans="2:7" ht="15.75" customHeight="1" x14ac:dyDescent="0.2">
      <c r="D57" s="11"/>
    </row>
    <row r="58" spans="2:7" ht="15.75" customHeight="1" x14ac:dyDescent="0.2">
      <c r="D58" s="11"/>
    </row>
    <row r="59" spans="2:7" ht="15.75" customHeight="1" x14ac:dyDescent="0.2">
      <c r="D59" s="11"/>
    </row>
    <row r="60" spans="2:7" ht="15.75" customHeight="1" x14ac:dyDescent="0.2">
      <c r="D60" s="11"/>
      <c r="F60" s="14">
        <v>1277</v>
      </c>
    </row>
    <row r="61" spans="2:7" ht="15.75" customHeight="1" x14ac:dyDescent="0.2">
      <c r="D61" s="11"/>
    </row>
    <row r="62" spans="2:7" ht="15.75" customHeight="1" x14ac:dyDescent="0.2">
      <c r="D62" s="11"/>
    </row>
    <row r="63" spans="2:7" ht="15.75" customHeight="1" x14ac:dyDescent="0.2">
      <c r="D63" s="11"/>
    </row>
    <row r="64" spans="2:7" ht="15.75" customHeight="1" x14ac:dyDescent="0.2">
      <c r="D64" s="11"/>
    </row>
    <row r="65" spans="4:4" ht="15.75" customHeight="1" x14ac:dyDescent="0.2">
      <c r="D65" s="11"/>
    </row>
    <row r="66" spans="4:4" ht="15.75" customHeight="1" x14ac:dyDescent="0.2">
      <c r="D66" s="11"/>
    </row>
    <row r="67" spans="4:4" ht="15.75" customHeight="1" x14ac:dyDescent="0.2">
      <c r="D67" s="11"/>
    </row>
    <row r="68" spans="4:4" ht="15.75" customHeight="1" x14ac:dyDescent="0.2">
      <c r="D68" s="11"/>
    </row>
    <row r="69" spans="4:4" ht="15.75" customHeight="1" x14ac:dyDescent="0.2">
      <c r="D69" s="11"/>
    </row>
    <row r="70" spans="4:4" ht="15.75" customHeight="1" x14ac:dyDescent="0.2">
      <c r="D70" s="11"/>
    </row>
    <row r="71" spans="4:4" ht="15.75" customHeight="1" x14ac:dyDescent="0.2">
      <c r="D71" s="11"/>
    </row>
    <row r="72" spans="4:4" ht="15.75" customHeight="1" x14ac:dyDescent="0.2">
      <c r="D72" s="11"/>
    </row>
    <row r="73" spans="4:4" ht="15.75" customHeight="1" x14ac:dyDescent="0.2">
      <c r="D73" s="11"/>
    </row>
    <row r="74" spans="4:4" ht="15.75" customHeight="1" x14ac:dyDescent="0.2">
      <c r="D74" s="11"/>
    </row>
    <row r="75" spans="4:4" ht="15.75" customHeight="1" x14ac:dyDescent="0.2">
      <c r="D75" s="11"/>
    </row>
    <row r="76" spans="4:4" ht="15.75" customHeight="1" x14ac:dyDescent="0.2">
      <c r="D76" s="11"/>
    </row>
    <row r="77" spans="4:4" ht="15.75" customHeight="1" x14ac:dyDescent="0.2">
      <c r="D77" s="11"/>
    </row>
    <row r="78" spans="4:4" ht="15.75" customHeight="1" x14ac:dyDescent="0.2">
      <c r="D78" s="11"/>
    </row>
    <row r="79" spans="4:4" ht="15.75" customHeight="1" x14ac:dyDescent="0.2">
      <c r="D79" s="11"/>
    </row>
    <row r="80" spans="4:4" ht="15.75" customHeight="1" x14ac:dyDescent="0.2">
      <c r="D80" s="11"/>
    </row>
    <row r="81" spans="4:4" ht="15.75" customHeight="1" x14ac:dyDescent="0.2">
      <c r="D81" s="11"/>
    </row>
    <row r="82" spans="4:4" ht="15.75" customHeight="1" x14ac:dyDescent="0.2">
      <c r="D82" s="11"/>
    </row>
    <row r="83" spans="4:4" ht="15.75" customHeight="1" x14ac:dyDescent="0.2">
      <c r="D83" s="11"/>
    </row>
    <row r="84" spans="4:4" ht="15.75" customHeight="1" x14ac:dyDescent="0.2">
      <c r="D84" s="11"/>
    </row>
    <row r="85" spans="4:4" ht="15.75" customHeight="1" x14ac:dyDescent="0.2">
      <c r="D85" s="11"/>
    </row>
    <row r="86" spans="4:4" ht="15.75" customHeight="1" x14ac:dyDescent="0.2">
      <c r="D86" s="11"/>
    </row>
    <row r="87" spans="4:4" ht="15.75" customHeight="1" x14ac:dyDescent="0.2">
      <c r="D87" s="11"/>
    </row>
    <row r="88" spans="4:4" ht="15.75" customHeight="1" x14ac:dyDescent="0.2">
      <c r="D88" s="11"/>
    </row>
    <row r="89" spans="4:4" ht="15.75" customHeight="1" x14ac:dyDescent="0.2">
      <c r="D89" s="11"/>
    </row>
    <row r="90" spans="4:4" ht="15.75" customHeight="1" x14ac:dyDescent="0.2">
      <c r="D90" s="11"/>
    </row>
    <row r="91" spans="4:4" ht="15.75" customHeight="1" x14ac:dyDescent="0.2">
      <c r="D91" s="11"/>
    </row>
    <row r="92" spans="4:4" ht="15.75" customHeight="1" x14ac:dyDescent="0.2">
      <c r="D92" s="11"/>
    </row>
    <row r="93" spans="4:4" ht="15.75" customHeight="1" x14ac:dyDescent="0.2">
      <c r="D93" s="11"/>
    </row>
    <row r="94" spans="4:4" ht="15.75" customHeight="1" x14ac:dyDescent="0.2">
      <c r="D94" s="11"/>
    </row>
    <row r="95" spans="4:4" ht="15.75" customHeight="1" x14ac:dyDescent="0.2">
      <c r="D95" s="11"/>
    </row>
    <row r="96" spans="4:4" ht="15.75" customHeight="1" x14ac:dyDescent="0.2">
      <c r="D96" s="11"/>
    </row>
    <row r="97" spans="4:4" ht="15.75" customHeight="1" x14ac:dyDescent="0.2">
      <c r="D97" s="11"/>
    </row>
    <row r="98" spans="4:4" ht="15.75" customHeight="1" x14ac:dyDescent="0.2">
      <c r="D98" s="11"/>
    </row>
    <row r="99" spans="4:4" ht="15.75" customHeight="1" x14ac:dyDescent="0.2">
      <c r="D99" s="11"/>
    </row>
    <row r="100" spans="4:4" ht="15.75" customHeight="1" x14ac:dyDescent="0.2">
      <c r="D100" s="11"/>
    </row>
    <row r="101" spans="4:4" ht="15.75" customHeight="1" x14ac:dyDescent="0.2">
      <c r="D101" s="11"/>
    </row>
    <row r="102" spans="4:4" ht="15.75" customHeight="1" x14ac:dyDescent="0.2">
      <c r="D102" s="11"/>
    </row>
    <row r="103" spans="4:4" ht="15.75" customHeight="1" x14ac:dyDescent="0.2">
      <c r="D103" s="11"/>
    </row>
    <row r="104" spans="4:4" ht="15" customHeight="1" x14ac:dyDescent="0.2">
      <c r="D104" s="11"/>
    </row>
    <row r="105" spans="4:4" ht="15" customHeight="1" x14ac:dyDescent="0.2">
      <c r="D105" s="11"/>
    </row>
    <row r="106" spans="4:4" ht="15" customHeight="1" x14ac:dyDescent="0.2">
      <c r="D106" s="11"/>
    </row>
    <row r="107" spans="4:4" ht="15.75" customHeight="1" x14ac:dyDescent="0.2">
      <c r="D107" s="11"/>
    </row>
    <row r="108" spans="4:4" ht="15.75" customHeight="1" x14ac:dyDescent="0.2">
      <c r="D108" s="11"/>
    </row>
    <row r="109" spans="4:4" ht="15.75" customHeight="1" x14ac:dyDescent="0.2">
      <c r="D109" s="11"/>
    </row>
    <row r="110" spans="4:4" ht="15.75" customHeight="1" x14ac:dyDescent="0.2">
      <c r="D110" s="11"/>
    </row>
    <row r="111" spans="4:4" ht="15.75" customHeight="1" x14ac:dyDescent="0.2">
      <c r="D111" s="11"/>
    </row>
    <row r="112" spans="4:4" ht="15.75" customHeight="1" x14ac:dyDescent="0.2">
      <c r="D112" s="11"/>
    </row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A2:C2"/>
    <mergeCell ref="B53:C53"/>
  </mergeCells>
  <pageMargins left="0.25" right="0.25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1:A1000"/>
  <sheetViews>
    <sheetView workbookViewId="0"/>
  </sheetViews>
  <sheetFormatPr defaultColWidth="14.390625" defaultRowHeight="15" customHeight="1" x14ac:dyDescent="0.2"/>
  <cols>
    <col min="1" max="6" width="14.39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390625" defaultRowHeight="15" customHeight="1" x14ac:dyDescent="0.2"/>
  <cols>
    <col min="1" max="6" width="9.9531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defaultColWidth="14.390625" defaultRowHeight="15" customHeight="1" x14ac:dyDescent="0.2"/>
  <cols>
    <col min="1" max="6" width="9.9531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Sheet1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Graciela alejandra fernandez</cp:lastModifiedBy>
  <cp:revision/>
  <dcterms:created xsi:type="dcterms:W3CDTF">2026-01-07T19:19:10Z</dcterms:created>
  <dcterms:modified xsi:type="dcterms:W3CDTF">2026-03-01T03:21:32Z</dcterms:modified>
  <cp:category/>
  <cp:contentStatus/>
</cp:coreProperties>
</file>